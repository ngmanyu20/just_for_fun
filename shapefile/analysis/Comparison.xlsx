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Coding Site\just_for_fun\shapefile\analysis\"/>
    </mc:Choice>
  </mc:AlternateContent>
  <xr:revisionPtr revIDLastSave="0" documentId="13_ncr:1_{6A16269B-D05F-490B-83AE-F745131219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  <sheet name="Raw" sheetId="2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D28" i="1"/>
  <c r="D27" i="1"/>
  <c r="D26" i="1"/>
  <c r="I29" i="1"/>
  <c r="I28" i="1"/>
  <c r="I27" i="1"/>
  <c r="I26" i="1"/>
  <c r="D25" i="1"/>
  <c r="I25" i="1"/>
  <c r="T5" i="1"/>
  <c r="S5" i="1"/>
  <c r="K5" i="1" s="1"/>
  <c r="R5" i="1"/>
  <c r="Q5" i="1"/>
  <c r="P5" i="1"/>
  <c r="O5" i="1"/>
  <c r="N5" i="1"/>
  <c r="M5" i="1"/>
  <c r="C5" i="1" s="1"/>
  <c r="L5" i="1"/>
  <c r="J5" i="1"/>
  <c r="I5" i="1"/>
  <c r="G5" i="1"/>
  <c r="F5" i="1"/>
  <c r="E5" i="1"/>
  <c r="D5" i="1"/>
  <c r="B5" i="1"/>
  <c r="T4" i="1"/>
  <c r="S4" i="1"/>
  <c r="K4" i="1" s="1"/>
  <c r="R4" i="1"/>
  <c r="Q4" i="1"/>
  <c r="P4" i="1"/>
  <c r="O4" i="1"/>
  <c r="N4" i="1"/>
  <c r="M4" i="1"/>
  <c r="C4" i="1" s="1"/>
  <c r="L4" i="1"/>
  <c r="J4" i="1"/>
  <c r="I4" i="1"/>
  <c r="G4" i="1"/>
  <c r="F4" i="1"/>
  <c r="E4" i="1"/>
  <c r="D4" i="1"/>
  <c r="B4" i="1"/>
  <c r="T3" i="1"/>
  <c r="S3" i="1"/>
  <c r="R3" i="1"/>
  <c r="Q3" i="1"/>
  <c r="P3" i="1"/>
  <c r="O3" i="1"/>
  <c r="N3" i="1"/>
  <c r="M3" i="1"/>
  <c r="L3" i="1"/>
  <c r="J3" i="1"/>
  <c r="I3" i="1"/>
  <c r="G3" i="1"/>
  <c r="F3" i="1"/>
  <c r="E3" i="1"/>
  <c r="D3" i="1"/>
  <c r="B3" i="1"/>
  <c r="T2" i="1"/>
  <c r="S2" i="1"/>
  <c r="R2" i="1"/>
  <c r="Q2" i="1"/>
  <c r="P2" i="1"/>
  <c r="O2" i="1"/>
  <c r="N2" i="1"/>
  <c r="M2" i="1"/>
  <c r="L2" i="1"/>
  <c r="J2" i="1"/>
  <c r="I2" i="1"/>
  <c r="G2" i="1"/>
  <c r="F2" i="1"/>
  <c r="E2" i="1"/>
  <c r="D2" i="1"/>
  <c r="B2" i="1"/>
  <c r="J29" i="1"/>
  <c r="J28" i="1"/>
  <c r="J27" i="1"/>
  <c r="J26" i="1"/>
  <c r="J25" i="1"/>
  <c r="H29" i="1"/>
  <c r="G29" i="1"/>
  <c r="F29" i="1"/>
  <c r="E29" i="1"/>
  <c r="C29" i="1"/>
  <c r="B29" i="1"/>
  <c r="H28" i="1"/>
  <c r="G28" i="1"/>
  <c r="F28" i="1"/>
  <c r="E28" i="1"/>
  <c r="C28" i="1"/>
  <c r="B28" i="1"/>
  <c r="H27" i="1"/>
  <c r="G27" i="1"/>
  <c r="F27" i="1"/>
  <c r="E27" i="1"/>
  <c r="C27" i="1"/>
  <c r="B27" i="1"/>
  <c r="H26" i="1"/>
  <c r="G26" i="1"/>
  <c r="F26" i="1"/>
  <c r="E26" i="1"/>
  <c r="C26" i="1"/>
  <c r="B26" i="1"/>
  <c r="H25" i="1"/>
  <c r="G25" i="1"/>
  <c r="F25" i="1"/>
  <c r="E25" i="1"/>
  <c r="C25" i="1"/>
  <c r="B25" i="1"/>
  <c r="H4" i="1" l="1"/>
  <c r="H5" i="1"/>
  <c r="K27" i="1"/>
  <c r="K25" i="1"/>
  <c r="K28" i="1"/>
  <c r="K26" i="1"/>
  <c r="K29" i="1"/>
  <c r="I12" i="1"/>
  <c r="L12" i="1"/>
  <c r="B12" i="1"/>
  <c r="C12" i="1"/>
  <c r="E12" i="1"/>
  <c r="F12" i="1"/>
  <c r="G12" i="1"/>
  <c r="J12" i="1"/>
  <c r="D12" i="1"/>
  <c r="B11" i="1"/>
  <c r="C11" i="1"/>
  <c r="E11" i="1"/>
  <c r="F11" i="1"/>
  <c r="G11" i="1"/>
  <c r="P11" i="1" s="1"/>
  <c r="L11" i="1"/>
  <c r="I11" i="1"/>
  <c r="D11" i="1"/>
  <c r="J11" i="1"/>
  <c r="E30" i="1"/>
  <c r="G30" i="1"/>
  <c r="B30" i="1"/>
  <c r="H30" i="1"/>
  <c r="F13" i="1"/>
  <c r="L9" i="1"/>
  <c r="L13" i="1"/>
  <c r="F30" i="1"/>
  <c r="G13" i="1"/>
  <c r="P13" i="1" s="1"/>
  <c r="I13" i="1"/>
  <c r="J13" i="1"/>
  <c r="D14" i="1"/>
  <c r="G9" i="1"/>
  <c r="P9" i="1" s="1"/>
  <c r="D9" i="1"/>
  <c r="C30" i="1"/>
  <c r="D10" i="1"/>
  <c r="F9" i="1"/>
  <c r="B14" i="1"/>
  <c r="B10" i="1"/>
  <c r="E13" i="1"/>
  <c r="L14" i="1"/>
  <c r="C10" i="1"/>
  <c r="E10" i="1"/>
  <c r="C14" i="1"/>
  <c r="F10" i="1"/>
  <c r="G10" i="1"/>
  <c r="P10" i="1" s="1"/>
  <c r="E14" i="1"/>
  <c r="I10" i="1"/>
  <c r="F14" i="1"/>
  <c r="J10" i="1"/>
  <c r="G14" i="1"/>
  <c r="P14" i="1" s="1"/>
  <c r="L10" i="1"/>
  <c r="I14" i="1"/>
  <c r="B13" i="1"/>
  <c r="J14" i="1"/>
  <c r="C13" i="1"/>
  <c r="D13" i="1"/>
  <c r="J9" i="1"/>
  <c r="D30" i="1"/>
  <c r="C9" i="1"/>
  <c r="E9" i="1"/>
  <c r="I9" i="1"/>
  <c r="B9" i="1"/>
  <c r="J30" i="1"/>
  <c r="I30" i="1"/>
  <c r="R9" i="1" l="1"/>
  <c r="Q9" i="1"/>
  <c r="R10" i="1"/>
  <c r="Q14" i="1"/>
  <c r="O9" i="1"/>
  <c r="R13" i="1"/>
  <c r="O11" i="1"/>
  <c r="O10" i="1"/>
  <c r="Q13" i="1"/>
  <c r="O13" i="1"/>
  <c r="O14" i="1"/>
  <c r="R14" i="1"/>
  <c r="Q10" i="1"/>
  <c r="R11" i="1"/>
  <c r="Q11" i="1"/>
  <c r="K30" i="1"/>
  <c r="L27" i="1" l="1"/>
  <c r="L25" i="1"/>
  <c r="L28" i="1"/>
  <c r="L29" i="1"/>
  <c r="L26" i="1"/>
</calcChain>
</file>

<file path=xl/sharedStrings.xml><?xml version="1.0" encoding="utf-8"?>
<sst xmlns="http://schemas.openxmlformats.org/spreadsheetml/2006/main" count="1599" uniqueCount="433">
  <si>
    <t>Capital West</t>
    <phoneticPr fontId="2" type="noConversion"/>
  </si>
  <si>
    <t>Capital (Main)</t>
    <phoneticPr fontId="2" type="noConversion"/>
  </si>
  <si>
    <t>Highland</t>
  </si>
  <si>
    <t>Highland</t>
    <phoneticPr fontId="2" type="noConversion"/>
  </si>
  <si>
    <t>Midlands and SE</t>
    <phoneticPr fontId="2" type="noConversion"/>
  </si>
  <si>
    <t>Midlands and sw</t>
    <phoneticPr fontId="2" type="noConversion"/>
  </si>
  <si>
    <t>Queens Gate</t>
    <phoneticPr fontId="2" type="noConversion"/>
  </si>
  <si>
    <t>Zone</t>
  </si>
  <si>
    <t>District</t>
  </si>
  <si>
    <t>Name</t>
  </si>
  <si>
    <t>Population</t>
  </si>
  <si>
    <t>Electorate</t>
  </si>
  <si>
    <t>Type</t>
  </si>
  <si>
    <t>A1</t>
  </si>
  <si>
    <t>Alsworth</t>
  </si>
  <si>
    <t>Alsworth City</t>
  </si>
  <si>
    <t>City - A</t>
  </si>
  <si>
    <t>A2</t>
  </si>
  <si>
    <t>Praliament</t>
  </si>
  <si>
    <t>City - S</t>
  </si>
  <si>
    <t>A3</t>
  </si>
  <si>
    <t>A4</t>
  </si>
  <si>
    <t>City - D</t>
  </si>
  <si>
    <t>A5</t>
  </si>
  <si>
    <t>A6</t>
  </si>
  <si>
    <t>City - E</t>
  </si>
  <si>
    <t>A7</t>
  </si>
  <si>
    <t>City - B</t>
  </si>
  <si>
    <t>A8</t>
  </si>
  <si>
    <t>A9</t>
  </si>
  <si>
    <t>Alsworth Pass</t>
  </si>
  <si>
    <t>A10</t>
  </si>
  <si>
    <t>City - C</t>
  </si>
  <si>
    <t>A11</t>
  </si>
  <si>
    <t>A12</t>
  </si>
  <si>
    <t>City - F</t>
  </si>
  <si>
    <t>CS1</t>
  </si>
  <si>
    <t>Culver Square</t>
  </si>
  <si>
    <t>Culver City</t>
  </si>
  <si>
    <t>University of Bayes</t>
  </si>
  <si>
    <t>University Town</t>
  </si>
  <si>
    <t>CS2</t>
  </si>
  <si>
    <t>Culver Wells</t>
  </si>
  <si>
    <t>CS3</t>
  </si>
  <si>
    <t>CS4</t>
  </si>
  <si>
    <t>Culver Market</t>
  </si>
  <si>
    <t>CS5</t>
  </si>
  <si>
    <t>CS6</t>
  </si>
  <si>
    <t>CS7</t>
  </si>
  <si>
    <t>CS8</t>
  </si>
  <si>
    <t>CS9</t>
  </si>
  <si>
    <t>CS10</t>
  </si>
  <si>
    <t>CS11</t>
  </si>
  <si>
    <t>CS12</t>
  </si>
  <si>
    <t>CS13</t>
  </si>
  <si>
    <t>CS14</t>
  </si>
  <si>
    <t>Culver Pavilion</t>
  </si>
  <si>
    <t>CS15</t>
  </si>
  <si>
    <t>CS16</t>
  </si>
  <si>
    <t>CS17</t>
  </si>
  <si>
    <t>Pavilion</t>
  </si>
  <si>
    <t>CS18</t>
  </si>
  <si>
    <t>CS19</t>
  </si>
  <si>
    <t>CS20</t>
  </si>
  <si>
    <t>CS21</t>
  </si>
  <si>
    <t>CS22</t>
  </si>
  <si>
    <t>CS23</t>
  </si>
  <si>
    <t>CS24</t>
  </si>
  <si>
    <t>C1</t>
  </si>
  <si>
    <t>Central</t>
  </si>
  <si>
    <t>C2</t>
  </si>
  <si>
    <t>C3</t>
  </si>
  <si>
    <t>C4</t>
  </si>
  <si>
    <t>C5</t>
  </si>
  <si>
    <t>C6</t>
  </si>
  <si>
    <t>C7</t>
  </si>
  <si>
    <t>C8</t>
  </si>
  <si>
    <t>C9</t>
  </si>
  <si>
    <t>Outer Central</t>
  </si>
  <si>
    <t>C10</t>
  </si>
  <si>
    <t>C11</t>
  </si>
  <si>
    <t>C12</t>
  </si>
  <si>
    <t>C13</t>
  </si>
  <si>
    <t>C14</t>
  </si>
  <si>
    <t>BC1</t>
  </si>
  <si>
    <t>Baldwin Cross</t>
  </si>
  <si>
    <t>The Cross</t>
  </si>
  <si>
    <t>BC2</t>
  </si>
  <si>
    <t>BC3</t>
  </si>
  <si>
    <t>BC4</t>
  </si>
  <si>
    <t>BC5</t>
  </si>
  <si>
    <t>BC6</t>
  </si>
  <si>
    <t>BC7</t>
  </si>
  <si>
    <t>BC8</t>
  </si>
  <si>
    <t>BC9</t>
  </si>
  <si>
    <t>BC10</t>
  </si>
  <si>
    <t>BC11</t>
  </si>
  <si>
    <t>NC1</t>
  </si>
  <si>
    <t>New Cotham</t>
  </si>
  <si>
    <t>Cotwell University</t>
  </si>
  <si>
    <t>NC2</t>
  </si>
  <si>
    <t>NC3</t>
  </si>
  <si>
    <t>NC4</t>
  </si>
  <si>
    <t>NC5</t>
  </si>
  <si>
    <t>NC6</t>
  </si>
  <si>
    <t>NC7</t>
  </si>
  <si>
    <t>NC8</t>
  </si>
  <si>
    <t>Suburb - B</t>
  </si>
  <si>
    <t>NC9</t>
  </si>
  <si>
    <t>NC10</t>
  </si>
  <si>
    <t>NC11</t>
  </si>
  <si>
    <t>E1</t>
  </si>
  <si>
    <t>Easlington</t>
  </si>
  <si>
    <t>Easlington North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</si>
  <si>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</si>
  <si>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</si>
  <si>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</si>
  <si>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</si>
  <si>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</si>
  <si>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</si>
  <si>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</si>
  <si>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</si>
  <si>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</si>
  <si>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Easlington South</t>
  </si>
  <si>
    <t>E11</t>
  </si>
  <si>
    <t>E12</t>
  </si>
  <si>
    <t>E13</t>
  </si>
  <si>
    <t>E14</t>
  </si>
  <si>
    <t>E15</t>
  </si>
  <si>
    <t>E16</t>
  </si>
  <si>
    <t>E17</t>
  </si>
  <si>
    <t>E18</t>
  </si>
  <si>
    <t>E19</t>
  </si>
  <si>
    <t>Suburb - A</t>
  </si>
  <si>
    <t>AH1</t>
  </si>
  <si>
    <t>Affluence Height</t>
  </si>
  <si>
    <t>Gloss Villas</t>
  </si>
  <si>
    <t>AH2</t>
  </si>
  <si>
    <t>AH3</t>
  </si>
  <si>
    <t>AH4</t>
  </si>
  <si>
    <t>AH5</t>
  </si>
  <si>
    <t>AH6</t>
  </si>
  <si>
    <t>AH7</t>
  </si>
  <si>
    <t>AH8</t>
  </si>
  <si>
    <t>AH9</t>
  </si>
  <si>
    <t>AH10</t>
  </si>
  <si>
    <t>Thronyate</t>
  </si>
  <si>
    <t>T1</t>
  </si>
  <si>
    <t>Techno Lodge</t>
  </si>
  <si>
    <t>Techno City West</t>
  </si>
  <si>
    <t>Tech</t>
  </si>
  <si>
    <t>T2</t>
  </si>
  <si>
    <t>T3</t>
  </si>
  <si>
    <t>T4</t>
  </si>
  <si>
    <t>Techno University</t>
  </si>
  <si>
    <t>T5</t>
  </si>
  <si>
    <t>T6</t>
  </si>
  <si>
    <t>T7</t>
  </si>
  <si>
    <t>Techno City East</t>
  </si>
  <si>
    <t>T8</t>
  </si>
  <si>
    <t>N1</t>
  </si>
  <si>
    <t>Northville</t>
  </si>
  <si>
    <t>N2</t>
  </si>
  <si>
    <t>N3</t>
  </si>
  <si>
    <t>N4</t>
  </si>
  <si>
    <t>N5</t>
  </si>
  <si>
    <t>N6</t>
  </si>
  <si>
    <t>Rural - B</t>
  </si>
  <si>
    <t>W1</t>
  </si>
  <si>
    <t>Wills Tower</t>
  </si>
  <si>
    <t>East Valley</t>
  </si>
  <si>
    <t>W2</t>
  </si>
  <si>
    <t>W3</t>
  </si>
  <si>
    <t>WL1</t>
  </si>
  <si>
    <t>Woodland Grove</t>
  </si>
  <si>
    <t>Rural - C</t>
  </si>
  <si>
    <t>WL2</t>
  </si>
  <si>
    <t>P1</t>
  </si>
  <si>
    <t>Ether Palace</t>
  </si>
  <si>
    <t>P2</t>
  </si>
  <si>
    <t>P3</t>
  </si>
  <si>
    <t>P4</t>
  </si>
  <si>
    <t>P5</t>
  </si>
  <si>
    <t>P6</t>
  </si>
  <si>
    <t>P7</t>
  </si>
  <si>
    <t>Chittening</t>
  </si>
  <si>
    <t>P8</t>
  </si>
  <si>
    <t>P9</t>
  </si>
  <si>
    <t>P10</t>
  </si>
  <si>
    <t>P11</t>
  </si>
  <si>
    <t>Palham</t>
  </si>
  <si>
    <t>P12</t>
  </si>
  <si>
    <t>L1</t>
  </si>
  <si>
    <t>Lychnis City</t>
  </si>
  <si>
    <t>Butterfly City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</si>
  <si>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</si>
  <si>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</si>
  <si>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</si>
  <si>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</si>
  <si>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</si>
  <si>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</si>
  <si>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</si>
  <si>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</si>
  <si>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</si>
  <si>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</si>
  <si>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L12</t>
  </si>
  <si>
    <t>Skipper Town</t>
  </si>
  <si>
    <t>L13</t>
  </si>
  <si>
    <t>L14</t>
  </si>
  <si>
    <t>L15</t>
  </si>
  <si>
    <t>L16</t>
  </si>
  <si>
    <t>L17</t>
  </si>
  <si>
    <t>L18</t>
  </si>
  <si>
    <t>B1</t>
  </si>
  <si>
    <t>Bedmead</t>
  </si>
  <si>
    <t>The Ladywood</t>
  </si>
  <si>
    <t>B2</t>
  </si>
  <si>
    <t>B3</t>
  </si>
  <si>
    <t>B4</t>
  </si>
  <si>
    <t>B5</t>
  </si>
  <si>
    <t>B6</t>
  </si>
  <si>
    <t>Barking Down</t>
  </si>
  <si>
    <t>G1</t>
  </si>
  <si>
    <t>Greenmill Hill</t>
  </si>
  <si>
    <t>Barkingham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</si>
  <si>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</si>
  <si>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</si>
  <si>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</si>
  <si>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</si>
  <si>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</si>
  <si>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</si>
  <si>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</si>
  <si>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</si>
  <si>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</si>
  <si>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</si>
  <si>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</si>
  <si>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HA1</t>
  </si>
  <si>
    <t>Habourfields</t>
  </si>
  <si>
    <t>Habourfields City</t>
  </si>
  <si>
    <t>HA2</t>
  </si>
  <si>
    <t>HA3</t>
  </si>
  <si>
    <t>HA4</t>
  </si>
  <si>
    <t>HA5</t>
  </si>
  <si>
    <t>HA6</t>
  </si>
  <si>
    <t>HA7</t>
  </si>
  <si>
    <t>HA8</t>
  </si>
  <si>
    <t>HA9</t>
  </si>
  <si>
    <t>HA10</t>
  </si>
  <si>
    <t>Habourfields Grove</t>
  </si>
  <si>
    <t>HA11</t>
  </si>
  <si>
    <t>HA12</t>
  </si>
  <si>
    <t>HA13</t>
  </si>
  <si>
    <t>HA14</t>
  </si>
  <si>
    <t>HA15</t>
  </si>
  <si>
    <t>HA16</t>
  </si>
  <si>
    <t>HA17</t>
  </si>
  <si>
    <t>HA18</t>
  </si>
  <si>
    <t>HA19</t>
  </si>
  <si>
    <t>Rural - A</t>
  </si>
  <si>
    <t>HA20</t>
  </si>
  <si>
    <t>HA21</t>
  </si>
  <si>
    <t>GC1</t>
  </si>
  <si>
    <t>Graycliffe</t>
  </si>
  <si>
    <t>High End</t>
  </si>
  <si>
    <t>GC2</t>
  </si>
  <si>
    <t>GC3</t>
  </si>
  <si>
    <t>GC4</t>
  </si>
  <si>
    <t>CR</t>
  </si>
  <si>
    <t>Clifton Ridge</t>
  </si>
  <si>
    <t>Cloudport and Clifton Ridge</t>
  </si>
  <si>
    <t>CL1</t>
  </si>
  <si>
    <t>Cloudport</t>
  </si>
  <si>
    <t>CL2</t>
  </si>
  <si>
    <t>CL3</t>
  </si>
  <si>
    <t>CL4</t>
  </si>
  <si>
    <t>CL5</t>
  </si>
  <si>
    <t>CL6</t>
  </si>
  <si>
    <t>CL7</t>
  </si>
  <si>
    <t>CL8</t>
  </si>
  <si>
    <t>CL9</t>
  </si>
  <si>
    <t>Town - C</t>
  </si>
  <si>
    <t>CL10</t>
  </si>
  <si>
    <t>S1</t>
  </si>
  <si>
    <t>Sky's End</t>
  </si>
  <si>
    <t>S2</t>
  </si>
  <si>
    <t>QE1</t>
  </si>
  <si>
    <t>Queenslington East</t>
  </si>
  <si>
    <t>Town - B</t>
  </si>
  <si>
    <t>QE2</t>
  </si>
  <si>
    <t>QE3</t>
  </si>
  <si>
    <t>QE4</t>
  </si>
  <si>
    <t>QE5</t>
  </si>
  <si>
    <t>Town - A</t>
  </si>
  <si>
    <t>QW1</t>
  </si>
  <si>
    <t>Queenslington West</t>
  </si>
  <si>
    <t>QW2</t>
  </si>
  <si>
    <t>QW3</t>
  </si>
  <si>
    <t>QW4</t>
  </si>
  <si>
    <t>QW5</t>
  </si>
  <si>
    <t>QW6</t>
  </si>
  <si>
    <t>QW7</t>
  </si>
  <si>
    <t>QW8</t>
  </si>
  <si>
    <t>QR1</t>
  </si>
  <si>
    <t>Queens Royal Fort</t>
  </si>
  <si>
    <t>QR2</t>
  </si>
  <si>
    <t>QR3</t>
  </si>
  <si>
    <t>QR4</t>
  </si>
  <si>
    <t>M1</t>
  </si>
  <si>
    <t>Oldham Market</t>
  </si>
  <si>
    <t>Oldham and University Green</t>
  </si>
  <si>
    <t>M2</t>
  </si>
  <si>
    <t>M3</t>
  </si>
  <si>
    <t>QB1</t>
  </si>
  <si>
    <t>Queens Broadway</t>
  </si>
  <si>
    <t>Greenladies</t>
  </si>
  <si>
    <t>City of Greenladies</t>
  </si>
  <si>
    <t>QB2</t>
  </si>
  <si>
    <t>QB3</t>
  </si>
  <si>
    <t>QB4</t>
  </si>
  <si>
    <t>QB5</t>
  </si>
  <si>
    <t>QB6</t>
  </si>
  <si>
    <t>Elton and Elmdale</t>
  </si>
  <si>
    <t>Elton</t>
  </si>
  <si>
    <t>QB7</t>
  </si>
  <si>
    <t>Elton Common</t>
  </si>
  <si>
    <t>QB8</t>
  </si>
  <si>
    <t>QB9</t>
  </si>
  <si>
    <t>QB10</t>
  </si>
  <si>
    <t>Fishers Bay</t>
  </si>
  <si>
    <t>QB11</t>
  </si>
  <si>
    <t>QB12</t>
  </si>
  <si>
    <t>QB13</t>
  </si>
  <si>
    <t>Broadmead</t>
  </si>
  <si>
    <t>QB14</t>
  </si>
  <si>
    <t>QB15</t>
  </si>
  <si>
    <t>Fishers Causeway</t>
  </si>
  <si>
    <t>QB16</t>
  </si>
  <si>
    <t>QB17</t>
  </si>
  <si>
    <t>Hampton Court</t>
  </si>
  <si>
    <t>QB18</t>
  </si>
  <si>
    <t>QB19</t>
  </si>
  <si>
    <t>QB20</t>
  </si>
  <si>
    <t>QB21</t>
  </si>
  <si>
    <t>QB22</t>
  </si>
  <si>
    <t>QB23</t>
  </si>
  <si>
    <t>QB24</t>
  </si>
  <si>
    <t>QB25</t>
  </si>
  <si>
    <t>QB26</t>
  </si>
  <si>
    <t>QB27</t>
  </si>
  <si>
    <t>QB28</t>
  </si>
  <si>
    <t>Elmdale</t>
  </si>
  <si>
    <t>QB29</t>
  </si>
  <si>
    <t>QB30</t>
  </si>
  <si>
    <t>QB31</t>
  </si>
  <si>
    <t>QB32</t>
  </si>
  <si>
    <t>QB33</t>
  </si>
  <si>
    <t>University City</t>
  </si>
  <si>
    <t>QB34</t>
  </si>
  <si>
    <t>AD1</t>
  </si>
  <si>
    <t>Ashfiled Down</t>
  </si>
  <si>
    <t>Ashfield and Hove</t>
  </si>
  <si>
    <t>AP1</t>
  </si>
  <si>
    <t>Aquapool</t>
  </si>
  <si>
    <t>Aquapool and Wetland</t>
  </si>
  <si>
    <t>AP2</t>
  </si>
  <si>
    <t>WE1</t>
  </si>
  <si>
    <t>Wetland</t>
  </si>
  <si>
    <t>WE2</t>
  </si>
  <si>
    <t>WG1</t>
  </si>
  <si>
    <t>West Gate</t>
  </si>
  <si>
    <t>WG2</t>
  </si>
  <si>
    <t>WG3</t>
  </si>
  <si>
    <t>HE1</t>
  </si>
  <si>
    <t>Herford Valley</t>
  </si>
  <si>
    <t>Westland Pass</t>
  </si>
  <si>
    <t>HE2</t>
  </si>
  <si>
    <t>HE3</t>
  </si>
  <si>
    <t>WP1</t>
  </si>
  <si>
    <t>Waveney Pass</t>
  </si>
  <si>
    <t>WP2</t>
  </si>
  <si>
    <t>WP3</t>
  </si>
  <si>
    <t>Uni</t>
    <phoneticPr fontId="2" type="noConversion"/>
  </si>
  <si>
    <t>Alington</t>
  </si>
  <si>
    <t>Alma Valley East</t>
  </si>
  <si>
    <t>Twicken Meads</t>
  </si>
  <si>
    <t>Tedding Temple</t>
  </si>
  <si>
    <t>Techno Garden</t>
  </si>
  <si>
    <t>Leighton</t>
  </si>
  <si>
    <t>Gorton Quarters</t>
  </si>
  <si>
    <t>Durdham Mews</t>
  </si>
  <si>
    <t>Denton Town</t>
  </si>
  <si>
    <t>Permbroke Corner</t>
  </si>
  <si>
    <t>Alma Valley West</t>
  </si>
  <si>
    <t>Weslington</t>
  </si>
  <si>
    <t>Clifton Wick</t>
  </si>
  <si>
    <t>Cotham Heights</t>
  </si>
  <si>
    <t>Pebble Palace</t>
  </si>
  <si>
    <t>Tenna Court</t>
  </si>
  <si>
    <t>Slothwood</t>
  </si>
  <si>
    <t>Queens Mansion</t>
  </si>
  <si>
    <t>Meadow Hill</t>
  </si>
  <si>
    <t>Hopewell Harbor</t>
  </si>
  <si>
    <t>Goldcrest Villas</t>
  </si>
  <si>
    <t>Grillbys Crest</t>
  </si>
  <si>
    <t>Lancer Gate</t>
  </si>
  <si>
    <t>Northfields Market</t>
  </si>
  <si>
    <t>Midlands</t>
  </si>
  <si>
    <t>Alma Bridge</t>
  </si>
  <si>
    <t>Alma Junction</t>
  </si>
  <si>
    <t>Bayes Valley</t>
  </si>
  <si>
    <t>Readington</t>
  </si>
  <si>
    <t>Alma Heath</t>
  </si>
  <si>
    <t>Alma Forest</t>
  </si>
  <si>
    <t>Waltham Grove</t>
  </si>
  <si>
    <t>South East</t>
  </si>
  <si>
    <t>Eton Gate</t>
  </si>
  <si>
    <t>Aqua Bay</t>
  </si>
  <si>
    <t>Oakfield Bush</t>
  </si>
  <si>
    <t>Waterstone</t>
  </si>
  <si>
    <t>Storport</t>
  </si>
  <si>
    <t>Dressingham</t>
  </si>
  <si>
    <t>Region</t>
  </si>
  <si>
    <t>S</t>
  </si>
  <si>
    <t>D1</t>
  </si>
  <si>
    <t>D2</t>
  </si>
  <si>
    <t>F1</t>
  </si>
  <si>
    <t>F2</t>
  </si>
  <si>
    <t>E2</t>
    <phoneticPr fontId="2" type="noConversion"/>
  </si>
  <si>
    <t>E1</t>
    <phoneticPr fontId="2" type="noConversion"/>
  </si>
  <si>
    <t>S, A, B</t>
    <phoneticPr fontId="2" type="noConversion"/>
  </si>
  <si>
    <t>C</t>
    <phoneticPr fontId="2" type="noConversion"/>
  </si>
  <si>
    <t>A2/D2/E2</t>
    <phoneticPr fontId="2" type="noConversion"/>
  </si>
  <si>
    <t>E/F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</si>
</sst>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name val="新細明體"/>
      <family val="1"/>
      <charset val="136"/>
    </font>
    <font>
      <sz val="11"/>
      <color theme="1"/>
      <name val="Arial"/>
      <family val="2"/>
    </font>
    <font>
      <sz val="11"/>
      <color theme="2" tint="-9.9978637043366805E-2"/>
      <name val="Arial"/>
      <family val="2"/>
    </font>
    <font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4" fillId="0" borderId="0" xfId="0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0" fontId="5" fillId="0" borderId="0" xfId="1" applyNumberFormat="1" applyFont="1" applyAlignment="1">
      <alignment horizontal="center" vertical="center"/>
    </xf>
    <xf numFmtId="0" fontId="6" fillId="0" borderId="0" xfId="0" applyFont="1"/>
    <xf numFmtId="10" fontId="6" fillId="0" borderId="0" xfId="1" applyNumberFormat="1" applyFont="1" applyAlignment="1">
      <alignment horizontal="center" vertic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1"/>
  <sheetViews>
    <sheetView tabSelected="1" workbookViewId="0">
      <selection activeCell="P13" sqref="O13:P13"/>
    </sheetView>
  </sheetViews>
  <sheetFormatPr defaultRowHeight="15" x14ac:dyDescent="0.3"/>
  <cols>
    <col min="1" max="1" width="18.875" customWidth="1"/>
    <col min="2" max="2" width="10.5" style="1" bestFit="1" customWidth="1"/>
    <col min="3" max="3" width="9.25" style="1" bestFit="1" customWidth="1"/>
    <col min="4" max="4" width="10.5" style="1" bestFit="1" customWidth="1"/>
    <col min="5" max="5" width="10.5" bestFit="1" customWidth="1"/>
    <col min="6" max="6" width="9.25" style="1" bestFit="1" customWidth="1"/>
    <col min="7" max="7" width="10.5" style="1" bestFit="1" customWidth="1"/>
    <col min="8" max="8" width="9.375" style="1" customWidth="1"/>
    <col min="9" max="9" width="10.5" style="1" bestFit="1" customWidth="1"/>
    <col min="10" max="10" width="15.25" style="1" customWidth="1"/>
    <col min="11" max="11" width="10.375" style="1" customWidth="1"/>
    <col min="12" max="12" width="9.375" style="1" bestFit="1" customWidth="1"/>
    <col min="13" max="13" width="9.5" style="1" bestFit="1" customWidth="1"/>
    <col min="14" max="14" width="10.375" style="1" customWidth="1"/>
    <col min="15" max="16" width="9.375" style="1" bestFit="1" customWidth="1"/>
    <col min="17" max="17" width="9.25" style="1" bestFit="1" customWidth="1"/>
    <col min="18" max="18" width="9.5" style="1" bestFit="1" customWidth="1"/>
    <col min="19" max="19" width="9.125" bestFit="1" customWidth="1"/>
    <col min="20" max="20" width="9.375" bestFit="1" customWidth="1"/>
  </cols>
  <sheetData>
    <row r="1" spans="1:24" x14ac:dyDescent="0.3">
      <c r="A1" s="3" t="s">
        <v>6</v>
      </c>
      <c r="B1" s="4" t="s">
        <v>19</v>
      </c>
      <c r="C1" s="4"/>
      <c r="D1" s="4" t="s">
        <v>16</v>
      </c>
      <c r="E1" s="4" t="s">
        <v>27</v>
      </c>
      <c r="F1" s="4" t="s">
        <v>381</v>
      </c>
      <c r="G1" s="4" t="s">
        <v>32</v>
      </c>
      <c r="I1" s="4" t="s">
        <v>22</v>
      </c>
      <c r="J1" s="4" t="s">
        <v>25</v>
      </c>
      <c r="L1" s="4" t="s">
        <v>35</v>
      </c>
      <c r="M1" s="8" t="s">
        <v>133</v>
      </c>
      <c r="N1" s="8" t="s">
        <v>258</v>
      </c>
      <c r="O1" s="8" t="s">
        <v>292</v>
      </c>
      <c r="P1" s="8" t="s">
        <v>107</v>
      </c>
      <c r="Q1" s="8" t="s">
        <v>287</v>
      </c>
      <c r="R1" s="8" t="s">
        <v>167</v>
      </c>
      <c r="S1" s="8" t="s">
        <v>280</v>
      </c>
      <c r="T1" s="8" t="s">
        <v>175</v>
      </c>
    </row>
    <row r="2" spans="1:24" x14ac:dyDescent="0.3">
      <c r="A2" s="3" t="s">
        <v>1</v>
      </c>
      <c r="B2" s="5">
        <f>B17/SUM($B17:$R17)</f>
        <v>3.2519783454974618E-3</v>
      </c>
      <c r="C2" s="4"/>
      <c r="D2" s="5">
        <f t="shared" ref="D2:R5" si="0">D17/SUM($B17:$R17)</f>
        <v>0.10064668140324742</v>
      </c>
      <c r="E2" s="5">
        <f t="shared" si="0"/>
        <v>0.42176059749343603</v>
      </c>
      <c r="F2" s="5">
        <f t="shared" si="0"/>
        <v>1.8894858447110904E-2</v>
      </c>
      <c r="G2" s="5">
        <f t="shared" si="0"/>
        <v>0.10505440623358031</v>
      </c>
      <c r="I2" s="5">
        <f>H17/SUM($B17:$R17)</f>
        <v>0.19462980355746839</v>
      </c>
      <c r="J2" s="5">
        <f>I17/SUM($B17:$R17)</f>
        <v>6.0820604396426808E-2</v>
      </c>
      <c r="L2" s="5">
        <f>J17/SUM($B17:$R17)</f>
        <v>7.1333695298704036E-2</v>
      </c>
      <c r="M2" s="9">
        <f>K17/SUM($B17:$R17)</f>
        <v>1.5212080699576984E-2</v>
      </c>
      <c r="N2" s="9">
        <f>L17/SUM($B17:$R17)</f>
        <v>0</v>
      </c>
      <c r="O2" s="9">
        <f>M17/SUM($B17:$R17)</f>
        <v>0</v>
      </c>
      <c r="P2" s="9">
        <f>N17/SUM($B17:$R17)</f>
        <v>3.8711520067180537E-3</v>
      </c>
      <c r="Q2" s="9">
        <f>O17/SUM($B17:$R17)</f>
        <v>0</v>
      </c>
      <c r="R2" s="9">
        <f>P17/SUM($B17:$R17)</f>
        <v>4.5241421182336192E-3</v>
      </c>
      <c r="S2" s="9">
        <f>Q17/SUM($B17:$R17)</f>
        <v>0</v>
      </c>
      <c r="T2" s="9">
        <f>R17/SUM($B17:$R17)</f>
        <v>0</v>
      </c>
    </row>
    <row r="3" spans="1:24" x14ac:dyDescent="0.3">
      <c r="A3" s="3" t="s">
        <v>0</v>
      </c>
      <c r="B3" s="5">
        <f>B18/SUM($B18:$R18)</f>
        <v>0</v>
      </c>
      <c r="C3" s="4"/>
      <c r="D3" s="5">
        <f t="shared" si="0"/>
        <v>7.8288356839034776E-2</v>
      </c>
      <c r="E3" s="5">
        <f t="shared" si="0"/>
        <v>0.14805028837109133</v>
      </c>
      <c r="F3" s="5">
        <f t="shared" si="0"/>
        <v>6.9478469558717795E-2</v>
      </c>
      <c r="G3" s="5">
        <f t="shared" si="0"/>
        <v>7.7034552272604903E-2</v>
      </c>
      <c r="I3" s="5">
        <f>H18/SUM($B18:$R18)</f>
        <v>0.24498042687156163</v>
      </c>
      <c r="J3" s="5">
        <f>I18/SUM($B18:$R18)</f>
        <v>6.4739587127342527E-2</v>
      </c>
      <c r="L3" s="5">
        <f>J18/SUM($B18:$R18)</f>
        <v>0.16032605253072948</v>
      </c>
      <c r="M3" s="9">
        <f>K18/SUM($B18:$R18)</f>
        <v>1.9827689959111799E-2</v>
      </c>
      <c r="N3" s="9">
        <f>L18/SUM($B18:$R18)</f>
        <v>0</v>
      </c>
      <c r="O3" s="9">
        <f>M18/SUM($B18:$R18)</f>
        <v>0</v>
      </c>
      <c r="P3" s="9">
        <f>N18/SUM($B18:$R18)</f>
        <v>4.8553948039361625E-2</v>
      </c>
      <c r="Q3" s="9">
        <f>O18/SUM($B18:$R18)</f>
        <v>0</v>
      </c>
      <c r="R3" s="9">
        <f>P18/SUM($B18:$R18)</f>
        <v>3.605430434631135E-2</v>
      </c>
      <c r="S3" s="9">
        <f>Q18/SUM($B18:$R18)</f>
        <v>0</v>
      </c>
      <c r="T3" s="9">
        <f>R18/SUM($B18:$R18)</f>
        <v>5.2666324084132778E-2</v>
      </c>
    </row>
    <row r="4" spans="1:24" x14ac:dyDescent="0.3">
      <c r="A4" s="3" t="s">
        <v>3</v>
      </c>
      <c r="B4" s="5">
        <f>B19/SUM($B19:$R19)</f>
        <v>1.2694325325998939E-2</v>
      </c>
      <c r="C4" s="7">
        <f>M4+N4+O4</f>
        <v>8.571040060729028E-2</v>
      </c>
      <c r="D4" s="5">
        <f t="shared" si="0"/>
        <v>8.2763881226184333E-2</v>
      </c>
      <c r="E4" s="5">
        <f t="shared" si="0"/>
        <v>1.9235494981895657E-2</v>
      </c>
      <c r="F4" s="5">
        <f t="shared" si="0"/>
        <v>0</v>
      </c>
      <c r="G4" s="5">
        <f t="shared" si="0"/>
        <v>0.2194935632811906</v>
      </c>
      <c r="H4" s="7">
        <f>P4+Q4+R4</f>
        <v>0.2233942831979607</v>
      </c>
      <c r="I4" s="5">
        <f>H19/SUM($B19:$R19)</f>
        <v>0.19860781070555866</v>
      </c>
      <c r="J4" s="5">
        <f>I19/SUM($B19:$R19)</f>
        <v>6.51694344966329E-2</v>
      </c>
      <c r="K4" s="7">
        <f>S4+T4</f>
        <v>6.4057829401461402E-2</v>
      </c>
      <c r="L4" s="5">
        <f>J19/SUM($B19:$R19)</f>
        <v>2.8872976775826495E-2</v>
      </c>
      <c r="M4" s="9">
        <f>K19/SUM($B19:$R19)</f>
        <v>7.0460483044991667E-2</v>
      </c>
      <c r="N4" s="9">
        <f>L19/SUM($B19:$R19)</f>
        <v>1.524991756229861E-2</v>
      </c>
      <c r="O4" s="9">
        <f>M19/SUM($B19:$R19)</f>
        <v>0</v>
      </c>
      <c r="P4" s="9">
        <f>N19/SUM($B19:$R19)</f>
        <v>0.15624859921688647</v>
      </c>
      <c r="Q4" s="9">
        <f>O19/SUM($B19:$R19)</f>
        <v>0</v>
      </c>
      <c r="R4" s="9">
        <f>P19/SUM($B19:$R19)</f>
        <v>6.7145683981074233E-2</v>
      </c>
      <c r="S4" s="9">
        <f>Q19/SUM($B19:$R19)</f>
        <v>1.8420656214440077E-2</v>
      </c>
      <c r="T4" s="9">
        <f>R19/SUM($B19:$R19)</f>
        <v>4.5637173187021332E-2</v>
      </c>
    </row>
    <row r="5" spans="1:24" x14ac:dyDescent="0.3">
      <c r="A5" s="3" t="s">
        <v>5</v>
      </c>
      <c r="B5" s="5">
        <f>B20/SUM($B20:$R20)</f>
        <v>0</v>
      </c>
      <c r="C5" s="7">
        <f>M5+N5+O5</f>
        <v>0.21645453424604322</v>
      </c>
      <c r="D5" s="5">
        <f t="shared" si="0"/>
        <v>0.10674153792627047</v>
      </c>
      <c r="E5" s="5">
        <f t="shared" si="0"/>
        <v>1.9414676658509027E-2</v>
      </c>
      <c r="F5" s="5">
        <f t="shared" si="0"/>
        <v>4.3921544783417192E-2</v>
      </c>
      <c r="G5" s="5">
        <f t="shared" si="0"/>
        <v>3.8280359341511243E-2</v>
      </c>
      <c r="H5" s="7">
        <f>P5+Q5+R5</f>
        <v>0.18582757822805249</v>
      </c>
      <c r="I5" s="5">
        <f>H20/SUM($B20:$R20)</f>
        <v>0.15834992729059946</v>
      </c>
      <c r="J5" s="5">
        <f>I20/SUM($B20:$R20)</f>
        <v>1.2488705130868477E-2</v>
      </c>
      <c r="K5" s="7">
        <f>S5+T5</f>
        <v>0.10974128627236385</v>
      </c>
      <c r="L5" s="5">
        <f>J20/SUM($B20:$R20)</f>
        <v>0.1087798501223646</v>
      </c>
      <c r="M5" s="9">
        <f>K20/SUM($B20:$R20)</f>
        <v>6.057833107858189E-2</v>
      </c>
      <c r="N5" s="9">
        <f>L20/SUM($B20:$R20)</f>
        <v>2.0636971505684169E-2</v>
      </c>
      <c r="O5" s="9">
        <f>M20/SUM($B20:$R20)</f>
        <v>0.13523923166177715</v>
      </c>
      <c r="P5" s="9">
        <f>N20/SUM($B20:$R20)</f>
        <v>3.4385888464961836E-2</v>
      </c>
      <c r="Q5" s="9">
        <f>O20/SUM($B20:$R20)</f>
        <v>8.5107155584605534E-2</v>
      </c>
      <c r="R5" s="9">
        <f>P20/SUM($B20:$R20)</f>
        <v>6.6334534178485116E-2</v>
      </c>
      <c r="S5" s="9">
        <f>Q20/SUM($B20:$R20)</f>
        <v>0</v>
      </c>
      <c r="T5" s="9">
        <f>R20/SUM($B20:$R20)</f>
        <v>0.10974128627236385</v>
      </c>
    </row>
    <row r="6" spans="1:24" x14ac:dyDescent="0.3">
      <c r="S6" s="1"/>
      <c r="T6" s="1"/>
    </row>
    <row r="7" spans="1:24" s="3" customFormat="1" ht="13.8" x14ac:dyDescent="0.25">
      <c r="B7" s="4"/>
      <c r="C7" s="4"/>
      <c r="D7" s="4" t="s">
        <v>427</v>
      </c>
      <c r="E7" s="6"/>
      <c r="F7" s="4"/>
      <c r="G7" s="4" t="s">
        <v>68</v>
      </c>
      <c r="I7" s="4" t="s">
        <v>423</v>
      </c>
      <c r="J7" s="4"/>
      <c r="L7" s="4" t="s">
        <v>425</v>
      </c>
      <c r="M7" s="4"/>
      <c r="N7" s="4"/>
      <c r="O7" s="4"/>
      <c r="P7" s="4"/>
      <c r="Q7" s="4"/>
      <c r="R7" s="4"/>
      <c r="S7" s="4"/>
      <c r="T7" s="4"/>
    </row>
    <row r="8" spans="1:24" s="3" customFormat="1" ht="13.8" x14ac:dyDescent="0.25">
      <c r="A8" s="3" t="s">
        <v>421</v>
      </c>
      <c r="B8" s="4" t="s">
        <v>422</v>
      </c>
      <c r="C8" s="4" t="s">
        <v>13</v>
      </c>
      <c r="D8" s="4" t="s">
        <v>17</v>
      </c>
      <c r="E8" s="6" t="s">
        <v>213</v>
      </c>
      <c r="F8" s="4" t="s">
        <v>216</v>
      </c>
      <c r="G8" s="4" t="s">
        <v>70</v>
      </c>
      <c r="I8" s="4" t="s">
        <v>424</v>
      </c>
      <c r="J8" s="4" t="s">
        <v>428</v>
      </c>
      <c r="L8" s="4" t="s">
        <v>426</v>
      </c>
      <c r="M8" s="4"/>
      <c r="N8" s="4"/>
      <c r="O8" s="4" t="s">
        <v>429</v>
      </c>
      <c r="P8" s="4" t="s">
        <v>430</v>
      </c>
      <c r="Q8" s="4" t="s">
        <v>431</v>
      </c>
      <c r="R8" s="4" t="s">
        <v>432</v>
      </c>
      <c r="S8" s="4"/>
      <c r="T8" s="4"/>
    </row>
    <row r="9" spans="1:24" s="3" customFormat="1" x14ac:dyDescent="0.3">
      <c r="A9" s="3" t="s">
        <v>383</v>
      </c>
      <c r="B9" s="5">
        <f>B25/SUM($B25:$J25)</f>
        <v>1.7962436843331299E-2</v>
      </c>
      <c r="C9" s="5">
        <f t="shared" ref="C9:J9" si="1">C25/SUM($B25:$J25)</f>
        <v>2.7095742095877645E-2</v>
      </c>
      <c r="D9" s="5">
        <f t="shared" si="1"/>
        <v>9.5841939140667673E-2</v>
      </c>
      <c r="E9" s="5">
        <f t="shared" si="1"/>
        <v>0.24663752239099701</v>
      </c>
      <c r="F9" s="5">
        <f t="shared" si="1"/>
        <v>3.5572253136747743E-2</v>
      </c>
      <c r="G9" s="5">
        <f t="shared" si="1"/>
        <v>0.1331232001855541</v>
      </c>
      <c r="I9" s="5">
        <f>H25/SUM($B25:$J25)</f>
        <v>0.22724037990392956</v>
      </c>
      <c r="J9" s="5">
        <f>I25/SUM($B25:$J25)</f>
        <v>9.5802842752947981E-2</v>
      </c>
      <c r="L9" s="5">
        <f>J25/SUM($B25:$J25)</f>
        <v>0.12072368354994699</v>
      </c>
      <c r="M9" s="4">
        <v>0.36915904045996745</v>
      </c>
      <c r="N9" s="4"/>
      <c r="O9" s="7">
        <f>B9+C9+E9+F9</f>
        <v>0.32726795446695367</v>
      </c>
      <c r="P9" s="7">
        <f>G9</f>
        <v>0.1331232001855541</v>
      </c>
      <c r="Q9" s="7">
        <f>D9+I9</f>
        <v>0.32308231904459722</v>
      </c>
      <c r="R9" s="7">
        <f>J9+L9</f>
        <v>0.21652652630289498</v>
      </c>
      <c r="S9" s="4"/>
      <c r="T9" s="4"/>
      <c r="X9"/>
    </row>
    <row r="10" spans="1:24" s="3" customFormat="1" x14ac:dyDescent="0.3">
      <c r="A10" s="3" t="s">
        <v>392</v>
      </c>
      <c r="B10" s="5">
        <f t="shared" ref="B10:J10" si="2">B26/SUM($B26:$J26)</f>
        <v>9.1251532201297413E-3</v>
      </c>
      <c r="C10" s="5">
        <f t="shared" si="2"/>
        <v>2.0039781251795074E-2</v>
      </c>
      <c r="D10" s="5">
        <f t="shared" si="2"/>
        <v>7.5777735155780693E-2</v>
      </c>
      <c r="E10" s="5">
        <f t="shared" si="2"/>
        <v>0.11970749194103496</v>
      </c>
      <c r="F10" s="5">
        <f t="shared" si="2"/>
        <v>3.43649262936939E-2</v>
      </c>
      <c r="G10" s="5">
        <f t="shared" si="2"/>
        <v>0.15903543607982343</v>
      </c>
      <c r="I10" s="5">
        <f>H26/SUM($B26:$J26)</f>
        <v>0.26263921247530708</v>
      </c>
      <c r="J10" s="5">
        <f>I26/SUM($B26:$J26)</f>
        <v>0.12881473094107099</v>
      </c>
      <c r="L10" s="5">
        <f>J26/SUM($B26:$J26)</f>
        <v>0.19049553264136412</v>
      </c>
      <c r="M10" s="4">
        <v>0.11897816097072154</v>
      </c>
      <c r="N10" s="4"/>
      <c r="O10" s="7">
        <f t="shared" ref="O10:O11" si="3">B10+C10+E10+F10</f>
        <v>0.18323735270665367</v>
      </c>
      <c r="P10" s="7">
        <f t="shared" ref="P10:P11" si="4">G10</f>
        <v>0.15903543607982343</v>
      </c>
      <c r="Q10" s="7">
        <f t="shared" ref="Q10:Q11" si="5">D10+I10</f>
        <v>0.33841694763108776</v>
      </c>
      <c r="R10" s="7">
        <f t="shared" ref="R10:R11" si="6">J10+L10</f>
        <v>0.31931026358243508</v>
      </c>
      <c r="S10" s="4"/>
      <c r="T10" s="4"/>
      <c r="X10"/>
    </row>
    <row r="11" spans="1:24" s="3" customFormat="1" x14ac:dyDescent="0.3">
      <c r="A11" s="3" t="s">
        <v>2</v>
      </c>
      <c r="B11" s="5">
        <f t="shared" ref="B11:J12" si="7">B27/SUM($B27:$J27)</f>
        <v>2.0092556597574498E-2</v>
      </c>
      <c r="C11" s="5">
        <f t="shared" si="7"/>
        <v>2.8433893789023779E-2</v>
      </c>
      <c r="D11" s="5">
        <f t="shared" si="7"/>
        <v>0.10405492865296349</v>
      </c>
      <c r="E11" s="5">
        <f t="shared" si="7"/>
        <v>2.8498242863661104E-2</v>
      </c>
      <c r="F11" s="5">
        <f t="shared" si="7"/>
        <v>9.9762279668503262E-3</v>
      </c>
      <c r="G11" s="5">
        <f t="shared" si="7"/>
        <v>0.27136543963234755</v>
      </c>
      <c r="I11" s="5">
        <f>H27/SUM($B27:$J27)</f>
        <v>0.28804378282753018</v>
      </c>
      <c r="J11" s="5">
        <f>I27/SUM($B27:$J27)</f>
        <v>0.10613177735856595</v>
      </c>
      <c r="L11" s="5">
        <f>J27/SUM($B27:$J27)</f>
        <v>0.1434031503114831</v>
      </c>
      <c r="M11" s="4">
        <v>0.26209962733380876</v>
      </c>
      <c r="N11" s="4"/>
      <c r="O11" s="7">
        <f t="shared" si="3"/>
        <v>8.7000921217109714E-2</v>
      </c>
      <c r="P11" s="7">
        <f t="shared" si="4"/>
        <v>0.27136543963234755</v>
      </c>
      <c r="Q11" s="7">
        <f t="shared" si="5"/>
        <v>0.39209871148049369</v>
      </c>
      <c r="R11" s="7">
        <f t="shared" si="6"/>
        <v>0.24953492767004903</v>
      </c>
      <c r="S11" s="4"/>
      <c r="T11" s="4"/>
      <c r="X11"/>
    </row>
    <row r="12" spans="1:24" s="3" customFormat="1" ht="13.8" x14ac:dyDescent="0.25">
      <c r="A12" s="3" t="s">
        <v>4</v>
      </c>
      <c r="B12" s="5">
        <f>(B28+B29)/SUM($B28:$J29)</f>
        <v>1.2770584482320983E-2</v>
      </c>
      <c r="C12" s="5">
        <f t="shared" ref="C12:G12" si="8">(C28+C29)/SUM($B28:$J29)</f>
        <v>2.697728378040376E-2</v>
      </c>
      <c r="D12" s="5">
        <f t="shared" si="8"/>
        <v>0.11302977303063334</v>
      </c>
      <c r="E12" s="5">
        <f t="shared" si="8"/>
        <v>4.9187882680423803E-2</v>
      </c>
      <c r="F12" s="5">
        <f t="shared" si="8"/>
        <v>2.9035087703033965E-2</v>
      </c>
      <c r="G12" s="5">
        <f t="shared" si="8"/>
        <v>0.21156545692851464</v>
      </c>
      <c r="I12" s="5">
        <f>(H28+H29)/SUM($B28:$J29)</f>
        <v>0.22125679839195189</v>
      </c>
      <c r="J12" s="5">
        <f>(I28+I29)/SUM($B28:$J29)</f>
        <v>0.12245727208456456</v>
      </c>
      <c r="L12" s="5">
        <f>(J28+J29)/SUM($B28:$J29)</f>
        <v>0.21371986091815304</v>
      </c>
      <c r="N12" s="4"/>
      <c r="O12" s="4"/>
      <c r="P12" s="4"/>
      <c r="Q12" s="4"/>
      <c r="R12" s="4"/>
      <c r="S12" s="4"/>
      <c r="T12" s="4"/>
    </row>
    <row r="13" spans="1:24" s="3" customFormat="1" x14ac:dyDescent="0.3">
      <c r="A13" s="10" t="s">
        <v>406</v>
      </c>
      <c r="B13" s="11">
        <f>B28/SUM($B28:$J28)</f>
        <v>1.3627540339362103E-2</v>
      </c>
      <c r="C13" s="11">
        <f>C28/SUM($B28:$J28)</f>
        <v>2.9482161332279849E-2</v>
      </c>
      <c r="D13" s="11">
        <f>D28/SUM($B28:$J28)</f>
        <v>0.12074100740764711</v>
      </c>
      <c r="E13" s="11">
        <f>E28/SUM($B28:$J28)</f>
        <v>5.24081369960782E-2</v>
      </c>
      <c r="F13" s="11">
        <f>F28/SUM($B28:$J28)</f>
        <v>3.1837107269309904E-2</v>
      </c>
      <c r="G13" s="11">
        <f>G28/SUM($B28:$J28)</f>
        <v>0.2137231134589784</v>
      </c>
      <c r="H13" s="10"/>
      <c r="I13" s="11">
        <f>H28/SUM($B28:$J28)</f>
        <v>0.22323199841078509</v>
      </c>
      <c r="J13" s="11">
        <f>I28/SUM($B28:$J28)</f>
        <v>0.12259775064966351</v>
      </c>
      <c r="K13" s="10"/>
      <c r="L13" s="11">
        <f>J28/SUM($B28:$J28)</f>
        <v>0.19235118413589586</v>
      </c>
      <c r="M13" s="4">
        <v>0.20605647777002081</v>
      </c>
      <c r="N13" s="4"/>
      <c r="O13" s="7">
        <f t="shared" ref="O13:O14" si="9">B13+C13+E13+F13</f>
        <v>0.12735494593703006</v>
      </c>
      <c r="P13" s="7">
        <f t="shared" ref="P13:P14" si="10">G13</f>
        <v>0.2137231134589784</v>
      </c>
      <c r="Q13" s="7">
        <f t="shared" ref="Q13:Q14" si="11">D13+I13</f>
        <v>0.34397300581843221</v>
      </c>
      <c r="R13" s="7">
        <f t="shared" ref="R13:R14" si="12">J13+L13</f>
        <v>0.31494893478555935</v>
      </c>
      <c r="S13" s="4"/>
      <c r="T13" s="4"/>
      <c r="X13"/>
    </row>
    <row r="14" spans="1:24" x14ac:dyDescent="0.3">
      <c r="A14" s="10" t="s">
        <v>414</v>
      </c>
      <c r="B14" s="11">
        <f>B29/SUM($B29:$J29)</f>
        <v>8.7282363853186697E-3</v>
      </c>
      <c r="C14" s="11">
        <f>C29/SUM($B29:$J29)</f>
        <v>1.516152113422552E-2</v>
      </c>
      <c r="D14" s="11">
        <f>D29/SUM($B29:$J29)</f>
        <v>7.6655094739631641E-2</v>
      </c>
      <c r="E14" s="11">
        <f>E29/SUM($B29:$J29)</f>
        <v>3.3997614946336289E-2</v>
      </c>
      <c r="F14" s="11">
        <f>F29/SUM($B29:$J29)</f>
        <v>1.58176758977077E-2</v>
      </c>
      <c r="G14" s="11">
        <f>G29/SUM($B29:$J29)</f>
        <v>0.20138757122035245</v>
      </c>
      <c r="H14" s="10"/>
      <c r="I14" s="11">
        <f>H29/SUM($B29:$J29)</f>
        <v>0.2119395786405194</v>
      </c>
      <c r="J14" s="11">
        <f>I29/SUM($B29:$J29)</f>
        <v>0.12179462037895852</v>
      </c>
      <c r="K14" s="10"/>
      <c r="L14" s="11">
        <f>J29/SUM($B29:$J29)</f>
        <v>0.3145180866569498</v>
      </c>
      <c r="M14" s="4">
        <v>4.3706693465481429E-2</v>
      </c>
      <c r="O14" s="7">
        <f t="shared" si="9"/>
        <v>7.3705048363588183E-2</v>
      </c>
      <c r="P14" s="7">
        <f t="shared" si="10"/>
        <v>0.20138757122035245</v>
      </c>
      <c r="Q14" s="7">
        <f t="shared" si="11"/>
        <v>0.28859467338015105</v>
      </c>
      <c r="R14" s="7">
        <f t="shared" si="12"/>
        <v>0.4363127070359083</v>
      </c>
      <c r="S14" s="4"/>
      <c r="T14" s="4"/>
      <c r="U14" s="3"/>
      <c r="V14" s="3"/>
      <c r="W14" s="3"/>
    </row>
    <row r="15" spans="1:24" x14ac:dyDescent="0.3">
      <c r="B15"/>
      <c r="C15"/>
      <c r="M15"/>
      <c r="N15"/>
    </row>
    <row r="16" spans="1:24" x14ac:dyDescent="0.3">
      <c r="A16" t="s">
        <v>6</v>
      </c>
      <c r="B16" s="1" t="s">
        <v>19</v>
      </c>
      <c r="D16" s="1" t="s">
        <v>16</v>
      </c>
      <c r="E16" s="1" t="s">
        <v>27</v>
      </c>
      <c r="F16" s="1" t="s">
        <v>381</v>
      </c>
      <c r="G16" s="1" t="s">
        <v>32</v>
      </c>
      <c r="H16" s="1" t="s">
        <v>22</v>
      </c>
      <c r="I16" s="1" t="s">
        <v>25</v>
      </c>
      <c r="J16" s="1" t="s">
        <v>35</v>
      </c>
      <c r="K16" s="1" t="s">
        <v>133</v>
      </c>
      <c r="L16" s="1" t="s">
        <v>258</v>
      </c>
      <c r="M16" s="1" t="s">
        <v>292</v>
      </c>
      <c r="N16" s="1" t="s">
        <v>107</v>
      </c>
      <c r="O16" s="1" t="s">
        <v>287</v>
      </c>
      <c r="P16" s="1" t="s">
        <v>167</v>
      </c>
      <c r="Q16" s="1" t="s">
        <v>280</v>
      </c>
      <c r="R16" s="1" t="s">
        <v>175</v>
      </c>
    </row>
    <row r="17" spans="1:18" x14ac:dyDescent="0.3">
      <c r="A17" t="s">
        <v>1</v>
      </c>
      <c r="B17" s="1">
        <v>58661</v>
      </c>
      <c r="D17" s="1">
        <v>1815521</v>
      </c>
      <c r="E17" s="1">
        <v>7607953</v>
      </c>
      <c r="F17" s="1">
        <v>340836</v>
      </c>
      <c r="G17" s="1">
        <v>1895030</v>
      </c>
      <c r="H17" s="1">
        <v>3510841</v>
      </c>
      <c r="I17" s="1">
        <v>1097116</v>
      </c>
      <c r="J17" s="1">
        <v>1286757</v>
      </c>
      <c r="K17" s="1">
        <v>274404</v>
      </c>
      <c r="L17" s="1">
        <v>0</v>
      </c>
      <c r="M17" s="1">
        <v>0</v>
      </c>
      <c r="N17" s="1">
        <v>69830</v>
      </c>
      <c r="O17" s="1">
        <v>0</v>
      </c>
      <c r="P17" s="1">
        <v>81609</v>
      </c>
      <c r="Q17" s="1">
        <v>0</v>
      </c>
      <c r="R17" s="1">
        <v>0</v>
      </c>
    </row>
    <row r="18" spans="1:18" x14ac:dyDescent="0.3">
      <c r="A18" t="s">
        <v>0</v>
      </c>
      <c r="B18" s="1">
        <v>0</v>
      </c>
      <c r="D18" s="1">
        <v>395499</v>
      </c>
      <c r="E18" s="1">
        <v>747924</v>
      </c>
      <c r="F18" s="1">
        <v>350993</v>
      </c>
      <c r="G18" s="1">
        <v>389165</v>
      </c>
      <c r="H18" s="1">
        <v>1237598</v>
      </c>
      <c r="I18" s="1">
        <v>327053</v>
      </c>
      <c r="J18" s="1">
        <v>809939</v>
      </c>
      <c r="K18" s="1">
        <v>100166</v>
      </c>
      <c r="L18" s="1">
        <v>0</v>
      </c>
      <c r="M18" s="1">
        <v>0</v>
      </c>
      <c r="N18" s="1">
        <v>245286</v>
      </c>
      <c r="O18" s="1">
        <v>0</v>
      </c>
      <c r="P18" s="1">
        <v>182140</v>
      </c>
      <c r="Q18" s="1">
        <v>0</v>
      </c>
      <c r="R18" s="1">
        <v>266061</v>
      </c>
    </row>
    <row r="19" spans="1:18" x14ac:dyDescent="0.3">
      <c r="A19" t="s">
        <v>3</v>
      </c>
      <c r="B19" s="1">
        <v>135085</v>
      </c>
      <c r="D19" s="1">
        <v>880721</v>
      </c>
      <c r="E19" s="1">
        <v>204692</v>
      </c>
      <c r="F19" s="1">
        <v>0</v>
      </c>
      <c r="G19" s="1">
        <v>2335712</v>
      </c>
      <c r="H19" s="1">
        <v>2113459</v>
      </c>
      <c r="I19" s="1">
        <v>693492</v>
      </c>
      <c r="J19" s="1">
        <v>307248</v>
      </c>
      <c r="K19" s="1">
        <v>749796</v>
      </c>
      <c r="L19" s="1">
        <v>162280</v>
      </c>
      <c r="M19" s="1">
        <v>0</v>
      </c>
      <c r="N19" s="1">
        <v>1662699</v>
      </c>
      <c r="O19" s="1">
        <v>0</v>
      </c>
      <c r="P19" s="1">
        <v>714522</v>
      </c>
      <c r="Q19" s="1">
        <v>196021</v>
      </c>
      <c r="R19" s="1">
        <v>485642</v>
      </c>
    </row>
    <row r="20" spans="1:18" x14ac:dyDescent="0.3">
      <c r="A20" t="s">
        <v>5</v>
      </c>
      <c r="B20" s="1">
        <v>0</v>
      </c>
      <c r="D20" s="1">
        <v>1263997</v>
      </c>
      <c r="E20" s="1">
        <v>229902</v>
      </c>
      <c r="F20" s="1">
        <v>520104</v>
      </c>
      <c r="G20" s="1">
        <v>453303</v>
      </c>
      <c r="H20" s="1">
        <v>1875126</v>
      </c>
      <c r="I20" s="1">
        <v>147887</v>
      </c>
      <c r="J20" s="1">
        <v>1288134</v>
      </c>
      <c r="K20" s="1">
        <v>717348</v>
      </c>
      <c r="L20" s="1">
        <v>244376</v>
      </c>
      <c r="M20" s="1">
        <v>1601457</v>
      </c>
      <c r="N20" s="1">
        <v>407186</v>
      </c>
      <c r="O20" s="1">
        <v>1007810</v>
      </c>
      <c r="P20" s="1">
        <v>785511</v>
      </c>
      <c r="Q20" s="1">
        <v>0</v>
      </c>
      <c r="R20" s="1">
        <v>1299519</v>
      </c>
    </row>
    <row r="23" spans="1:18" x14ac:dyDescent="0.3">
      <c r="D23" s="2" t="s">
        <v>114</v>
      </c>
      <c r="E23" s="1"/>
      <c r="F23"/>
      <c r="G23" s="2" t="s">
        <v>68</v>
      </c>
      <c r="H23" s="2" t="s">
        <v>423</v>
      </c>
      <c r="J23" s="2" t="s">
        <v>425</v>
      </c>
    </row>
    <row r="24" spans="1:18" x14ac:dyDescent="0.3">
      <c r="A24" s="2" t="s">
        <v>421</v>
      </c>
      <c r="B24" s="2" t="s">
        <v>422</v>
      </c>
      <c r="C24" s="2" t="s">
        <v>13</v>
      </c>
      <c r="D24" s="2" t="s">
        <v>17</v>
      </c>
      <c r="E24" s="2" t="s">
        <v>213</v>
      </c>
      <c r="F24" s="2" t="s">
        <v>216</v>
      </c>
      <c r="G24" s="2" t="s">
        <v>70</v>
      </c>
      <c r="H24" s="2" t="s">
        <v>424</v>
      </c>
      <c r="I24" s="2" t="s">
        <v>428</v>
      </c>
      <c r="J24" s="2" t="s">
        <v>426</v>
      </c>
    </row>
    <row r="25" spans="1:18" x14ac:dyDescent="0.3">
      <c r="A25" t="s">
        <v>383</v>
      </c>
      <c r="B25">
        <f>SUMIFS(工作表3!C:C,工作表3!B:B,工作表1!A25)</f>
        <v>286231</v>
      </c>
      <c r="C25">
        <f>SUMIFS(工作表3!D:D,工作表3!B:B,工作表1!A25)</f>
        <v>431770</v>
      </c>
      <c r="D25">
        <f>SUMIFS(工作表3!E:E,工作表3!B:B,工作表1!A25)+SUMIFS(工作表3!M:M,工作表3!B:B,工作表1!A25)</f>
        <v>1527239</v>
      </c>
      <c r="E25">
        <f>SUMIFS(工作表3!F:F,工作表3!B:B,工作表1!A25)</f>
        <v>3930163</v>
      </c>
      <c r="F25">
        <f>SUMIFS(工作表3!G:G,工作表3!B:B,工作表1!A25)</f>
        <v>566843</v>
      </c>
      <c r="G25">
        <f>SUMIFS(工作表3!H:H,工作表3!B:B,工作表1!A25)+SUMIFS(工作表3!I:I,工作表3!B:B,工作表1!A25)</f>
        <v>2121315</v>
      </c>
      <c r="H25">
        <f>SUMIFS(工作表3!J:J,工作表3!B:B,工作表1!A25)+SUMIFS(工作表3!K:K,工作表3!B:B,工作表1!A25)</f>
        <v>3621070</v>
      </c>
      <c r="I25">
        <f>SUMIFS(工作表3!L:L,工作表3!B:B,工作表1!A25)</f>
        <v>1526616</v>
      </c>
      <c r="J25">
        <f>SUMIFS(工作表3!O:O,工作表3!B:B,工作表1!A25)+SUMIFS(工作表3!N:N,工作表3!B:B,工作表1!A25)</f>
        <v>1923729</v>
      </c>
      <c r="K25">
        <f>SUM(B25:J25)</f>
        <v>15934976</v>
      </c>
      <c r="L25">
        <f>K25/$K$30</f>
        <v>0.36911641504517528</v>
      </c>
      <c r="M25"/>
      <c r="N25"/>
    </row>
    <row r="26" spans="1:18" x14ac:dyDescent="0.3">
      <c r="A26" t="s">
        <v>392</v>
      </c>
      <c r="B26">
        <f>SUMIFS(工作表3!C:C,工作表3!B:B,工作表1!A26)</f>
        <v>46863</v>
      </c>
      <c r="C26">
        <f>SUMIFS(工作表3!D:D,工作表3!B:B,工作表1!A26)</f>
        <v>102916</v>
      </c>
      <c r="D26">
        <f>SUMIFS(工作表3!E:E,工作表3!B:B,工作表1!A26)+SUMIFS(工作表3!M:M,工作表3!B:B,工作表1!A26)</f>
        <v>389163</v>
      </c>
      <c r="E26">
        <f>SUMIFS(工作表3!F:F,工作表3!B:B,工作表1!A26)</f>
        <v>614768</v>
      </c>
      <c r="F26">
        <f>SUMIFS(工作表3!G:G,工作表3!B:B,工作表1!A26)</f>
        <v>176484</v>
      </c>
      <c r="G26">
        <f>SUMIFS(工作表3!H:H,工作表3!B:B,工作表1!A26)+SUMIFS(工作表3!I:I,工作表3!B:B,工作表1!A26)</f>
        <v>816740</v>
      </c>
      <c r="H26">
        <f>SUMIFS(工作表3!J:J,工作表3!B:B,工作表1!A26)+SUMIFS(工作表3!K:K,工作表3!B:B,工作表1!A26)</f>
        <v>1348806</v>
      </c>
      <c r="I26">
        <f>SUMIFS(工作表3!L:L,工作表3!B:B,工作表1!A26)</f>
        <v>661539</v>
      </c>
      <c r="J26">
        <f>SUMIFS(工作表3!O:O,工作表3!B:B,工作表1!A26)+SUMIFS(工作表3!N:N,工作表3!B:B,工作表1!A26)</f>
        <v>978306</v>
      </c>
      <c r="K26">
        <f t="shared" ref="K26:K29" si="13">SUM(B26:J26)</f>
        <v>5135585</v>
      </c>
      <c r="L26">
        <f t="shared" ref="L26:L29" si="14">K26/$K$30</f>
        <v>0.11896024972737811</v>
      </c>
      <c r="M26"/>
      <c r="N26"/>
    </row>
    <row r="27" spans="1:18" x14ac:dyDescent="0.3">
      <c r="A27" t="s">
        <v>2</v>
      </c>
      <c r="B27">
        <f>SUMIFS(工作表3!C:C,工作表3!B:B,工作表1!A27)</f>
        <v>227313</v>
      </c>
      <c r="C27">
        <f>SUMIFS(工作表3!D:D,工作表3!B:B,工作表1!A27)</f>
        <v>321681</v>
      </c>
      <c r="D27">
        <f>SUMIFS(工作表3!E:E,工作表3!B:B,工作表1!A27)+SUMIFS(工作表3!M:M,工作表3!B:B,工作表1!A27)</f>
        <v>1177204</v>
      </c>
      <c r="E27">
        <f>SUMIFS(工作表3!F:F,工作表3!B:B,工作表1!A27)</f>
        <v>322409</v>
      </c>
      <c r="F27">
        <f>SUMIFS(工作表3!G:G,工作表3!B:B,工作表1!A27)</f>
        <v>112864</v>
      </c>
      <c r="G27">
        <f>SUMIFS(工作表3!H:H,工作表3!B:B,工作表1!A27)+SUMIFS(工作表3!I:I,工作表3!B:B,工作表1!A27)</f>
        <v>3070037</v>
      </c>
      <c r="H27">
        <f>SUMIFS(工作表3!J:J,工作表3!B:B,工作表1!A27)+SUMIFS(工作表3!K:K,工作表3!B:B,工作表1!A27)</f>
        <v>3258724</v>
      </c>
      <c r="I27">
        <f>SUMIFS(工作表3!L:L,工作表3!B:B,工作表1!A27)</f>
        <v>1200700</v>
      </c>
      <c r="J27">
        <f>SUMIFS(工作表3!O:O,工作表3!B:B,工作表1!A27)+SUMIFS(工作表3!N:N,工作表3!B:B,工作表1!A27)</f>
        <v>1622362</v>
      </c>
      <c r="K27">
        <f t="shared" si="13"/>
        <v>11313294</v>
      </c>
      <c r="L27">
        <f t="shared" si="14"/>
        <v>0.26206017025893802</v>
      </c>
      <c r="M27"/>
      <c r="N27"/>
    </row>
    <row r="28" spans="1:18" x14ac:dyDescent="0.3">
      <c r="A28" t="s">
        <v>406</v>
      </c>
      <c r="B28">
        <f>SUMIFS(工作表3!C:C,工作表3!B:B,工作表1!A28)</f>
        <v>121285</v>
      </c>
      <c r="C28">
        <f>SUMIFS(工作表3!D:D,工作表3!B:B,工作表1!A28)</f>
        <v>262391</v>
      </c>
      <c r="D28">
        <f>SUMIFS(工作表3!E:E,工作表3!B:B,工作表1!A28)+SUMIFS(工作表3!M:M,工作表3!B:B,工作表1!A28)</f>
        <v>1074594</v>
      </c>
      <c r="E28">
        <f>SUMIFS(工作表3!F:F,工作表3!B:B,工作表1!A28)</f>
        <v>466432</v>
      </c>
      <c r="F28">
        <f>SUMIFS(工作表3!G:G,工作表3!B:B,工作表1!A28)</f>
        <v>283350</v>
      </c>
      <c r="G28">
        <f>SUMIFS(工作表3!H:H,工作表3!B:B,工作表1!A28)+SUMIFS(工作表3!I:I,工作表3!B:B,工作表1!A28)</f>
        <v>1902134</v>
      </c>
      <c r="H28">
        <f>SUMIFS(工作表3!J:J,工作表3!B:B,工作表1!A28)+SUMIFS(工作表3!K:K,工作表3!B:B,工作表1!A28)</f>
        <v>1986763</v>
      </c>
      <c r="I28">
        <f>SUMIFS(工作表3!L:L,工作表3!B:B,工作表1!A28)</f>
        <v>1091119</v>
      </c>
      <c r="J28">
        <f>SUMIFS(工作表3!O:O,工作表3!B:B,工作表1!A28)+SUMIFS(工作表3!N:N,工作表3!B:B,工作表1!A28)</f>
        <v>1711924</v>
      </c>
      <c r="K28">
        <f t="shared" si="13"/>
        <v>8899992</v>
      </c>
      <c r="L28">
        <f t="shared" si="14"/>
        <v>0.20615865006453352</v>
      </c>
      <c r="M28"/>
      <c r="N28"/>
    </row>
    <row r="29" spans="1:18" x14ac:dyDescent="0.3">
      <c r="A29" t="s">
        <v>414</v>
      </c>
      <c r="B29">
        <f>SUMIFS(工作表3!C:C,工作表3!B:B,工作表1!A29)</f>
        <v>16468</v>
      </c>
      <c r="C29">
        <f>SUMIFS(工作表3!D:D,工作表3!B:B,工作表1!A29)</f>
        <v>28606</v>
      </c>
      <c r="D29">
        <f>SUMIFS(工作表3!E:E,工作表3!B:B,工作表1!A29)+SUMIFS(工作表3!M:M,工作表3!B:B,工作表1!A29)</f>
        <v>144629</v>
      </c>
      <c r="E29">
        <f>SUMIFS(工作表3!F:F,工作表3!B:B,工作表1!A29)</f>
        <v>64145</v>
      </c>
      <c r="F29">
        <f>SUMIFS(工作表3!G:G,工作表3!B:B,工作表1!A29)</f>
        <v>29844</v>
      </c>
      <c r="G29">
        <f>SUMIFS(工作表3!H:H,工作表3!B:B,工作表1!A29)+SUMIFS(工作表3!I:I,工作表3!B:B,工作表1!A29)</f>
        <v>379968</v>
      </c>
      <c r="H29">
        <f>SUMIFS(工作表3!J:J,工作表3!B:B,工作表1!A29)+SUMIFS(工作表3!K:K,工作表3!B:B,工作表1!A29)</f>
        <v>399877</v>
      </c>
      <c r="I29">
        <f>SUMIFS(工作表3!L:L,工作表3!B:B,工作表1!A29)</f>
        <v>229796</v>
      </c>
      <c r="J29">
        <f>SUMIFS(工作表3!O:O,工作表3!B:B,工作表1!A29)+SUMIFS(工作表3!N:N,工作表3!B:B,工作表1!A29)</f>
        <v>593417</v>
      </c>
      <c r="K29">
        <f t="shared" si="13"/>
        <v>1886750</v>
      </c>
      <c r="L29">
        <f t="shared" si="14"/>
        <v>4.3704514903975034E-2</v>
      </c>
      <c r="M29"/>
      <c r="N29"/>
    </row>
    <row r="30" spans="1:18" x14ac:dyDescent="0.3">
      <c r="B30">
        <f>SUM(B25:B29)</f>
        <v>698160</v>
      </c>
      <c r="C30">
        <f t="shared" ref="C30:J30" si="15">SUM(C25:C29)</f>
        <v>1147364</v>
      </c>
      <c r="D30">
        <f t="shared" si="15"/>
        <v>4312829</v>
      </c>
      <c r="E30">
        <f t="shared" si="15"/>
        <v>5397917</v>
      </c>
      <c r="F30">
        <f t="shared" si="15"/>
        <v>1169385</v>
      </c>
      <c r="G30">
        <f t="shared" si="15"/>
        <v>8290194</v>
      </c>
      <c r="H30">
        <f t="shared" si="15"/>
        <v>10615240</v>
      </c>
      <c r="I30">
        <f t="shared" si="15"/>
        <v>4709770</v>
      </c>
      <c r="J30">
        <f t="shared" si="15"/>
        <v>6829738</v>
      </c>
      <c r="K30">
        <f>SUM(B30:J30)</f>
        <v>43170597</v>
      </c>
      <c r="L30"/>
      <c r="M30"/>
      <c r="N30"/>
    </row>
    <row r="31" spans="1:18" x14ac:dyDescent="0.3">
      <c r="B31"/>
      <c r="C31"/>
      <c r="D31"/>
      <c r="F31"/>
      <c r="G31"/>
      <c r="H31"/>
      <c r="I31"/>
      <c r="J31"/>
      <c r="K31"/>
      <c r="L31"/>
      <c r="M31"/>
      <c r="N31"/>
    </row>
    <row r="32" spans="1:18" x14ac:dyDescent="0.3">
      <c r="B32"/>
      <c r="C32"/>
      <c r="D32"/>
      <c r="F32"/>
      <c r="G32"/>
      <c r="H32"/>
      <c r="I32"/>
      <c r="J32"/>
      <c r="K32"/>
      <c r="L32"/>
      <c r="M32"/>
      <c r="N32"/>
    </row>
    <row r="33" spans="2:14" x14ac:dyDescent="0.3">
      <c r="B33"/>
      <c r="C33"/>
      <c r="D33"/>
      <c r="F33"/>
      <c r="G33"/>
      <c r="H33"/>
      <c r="I33"/>
      <c r="J33"/>
      <c r="K33"/>
      <c r="L33"/>
      <c r="M33"/>
      <c r="N33"/>
    </row>
    <row r="34" spans="2:14" x14ac:dyDescent="0.3">
      <c r="B34"/>
      <c r="C34"/>
      <c r="D34"/>
      <c r="F34"/>
      <c r="G34"/>
      <c r="H34"/>
      <c r="I34"/>
      <c r="J34"/>
      <c r="K34"/>
      <c r="L34"/>
      <c r="M34"/>
      <c r="N34"/>
    </row>
    <row r="35" spans="2:14" x14ac:dyDescent="0.3">
      <c r="B35"/>
      <c r="C35"/>
      <c r="D35"/>
      <c r="F35"/>
      <c r="G35"/>
      <c r="H35"/>
      <c r="I35"/>
      <c r="J35"/>
      <c r="K35"/>
      <c r="L35"/>
      <c r="M35"/>
      <c r="N35"/>
    </row>
    <row r="36" spans="2:14" x14ac:dyDescent="0.3">
      <c r="B36"/>
      <c r="C36"/>
      <c r="D36"/>
      <c r="F36"/>
      <c r="G36"/>
      <c r="H36"/>
      <c r="I36"/>
      <c r="J36"/>
      <c r="K36"/>
      <c r="L36"/>
      <c r="M36"/>
      <c r="N36"/>
    </row>
    <row r="37" spans="2:14" x14ac:dyDescent="0.3">
      <c r="B37"/>
      <c r="C37"/>
      <c r="D37"/>
      <c r="F37"/>
      <c r="G37"/>
      <c r="H37"/>
      <c r="I37"/>
      <c r="J37"/>
      <c r="K37"/>
      <c r="L37"/>
      <c r="M37"/>
      <c r="N37"/>
    </row>
    <row r="38" spans="2:14" x14ac:dyDescent="0.3">
      <c r="B38"/>
      <c r="C38"/>
      <c r="D38"/>
      <c r="F38"/>
      <c r="G38"/>
      <c r="H38"/>
      <c r="I38"/>
      <c r="J38"/>
      <c r="K38"/>
      <c r="L38"/>
      <c r="M38"/>
      <c r="N38"/>
    </row>
    <row r="39" spans="2:14" x14ac:dyDescent="0.3">
      <c r="B39"/>
      <c r="C39"/>
      <c r="D39"/>
      <c r="F39"/>
      <c r="G39"/>
      <c r="H39"/>
      <c r="I39"/>
      <c r="J39"/>
      <c r="K39"/>
      <c r="L39"/>
      <c r="M39"/>
      <c r="N39"/>
    </row>
    <row r="40" spans="2:14" x14ac:dyDescent="0.3">
      <c r="B40"/>
      <c r="C40"/>
      <c r="D40"/>
      <c r="F40"/>
      <c r="G40"/>
      <c r="H40"/>
      <c r="I40"/>
      <c r="J40"/>
      <c r="K40"/>
      <c r="L40"/>
      <c r="M40"/>
      <c r="N40"/>
    </row>
    <row r="41" spans="2:14" x14ac:dyDescent="0.3">
      <c r="B41"/>
      <c r="C41"/>
      <c r="D41"/>
      <c r="F41"/>
      <c r="G41"/>
      <c r="H41"/>
      <c r="I41"/>
      <c r="J41"/>
      <c r="K41"/>
      <c r="L41"/>
      <c r="M41"/>
      <c r="N4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73CC-1EF2-4001-BF1D-0582D091C260}">
  <dimension ref="A1:K275"/>
  <sheetViews>
    <sheetView workbookViewId="0">
      <selection activeCell="G25" sqref="G25"/>
    </sheetView>
  </sheetViews>
  <sheetFormatPr defaultRowHeight="15" x14ac:dyDescent="0.3"/>
  <sheetData>
    <row r="1" spans="1:11" x14ac:dyDescent="0.3"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</row>
    <row r="2" spans="1:11" x14ac:dyDescent="0.3">
      <c r="A2" t="s">
        <v>13</v>
      </c>
      <c r="B2" t="s">
        <v>14</v>
      </c>
      <c r="C2" t="s">
        <v>15</v>
      </c>
      <c r="E2">
        <v>376804</v>
      </c>
      <c r="F2">
        <v>272320</v>
      </c>
      <c r="G2" t="s">
        <v>16</v>
      </c>
      <c r="H2" t="s">
        <v>1</v>
      </c>
      <c r="K2" t="s">
        <v>19</v>
      </c>
    </row>
    <row r="3" spans="1:11" x14ac:dyDescent="0.3">
      <c r="A3" t="s">
        <v>17</v>
      </c>
      <c r="B3" t="s">
        <v>14</v>
      </c>
      <c r="C3" t="s">
        <v>15</v>
      </c>
      <c r="D3" t="s">
        <v>18</v>
      </c>
      <c r="E3">
        <v>58661</v>
      </c>
      <c r="F3">
        <v>42043</v>
      </c>
      <c r="G3" t="s">
        <v>19</v>
      </c>
      <c r="H3" t="s">
        <v>1</v>
      </c>
      <c r="K3" t="s">
        <v>16</v>
      </c>
    </row>
    <row r="4" spans="1:11" x14ac:dyDescent="0.3">
      <c r="A4" t="s">
        <v>20</v>
      </c>
      <c r="B4" t="s">
        <v>14</v>
      </c>
      <c r="C4" t="s">
        <v>15</v>
      </c>
      <c r="E4">
        <v>94795</v>
      </c>
      <c r="F4">
        <v>71267</v>
      </c>
      <c r="G4" t="s">
        <v>16</v>
      </c>
      <c r="H4" t="s">
        <v>1</v>
      </c>
      <c r="K4" t="s">
        <v>27</v>
      </c>
    </row>
    <row r="5" spans="1:11" x14ac:dyDescent="0.3">
      <c r="A5" t="s">
        <v>21</v>
      </c>
      <c r="B5" t="s">
        <v>14</v>
      </c>
      <c r="C5" t="s">
        <v>15</v>
      </c>
      <c r="E5">
        <v>191929</v>
      </c>
      <c r="F5">
        <v>151579</v>
      </c>
      <c r="G5" t="s">
        <v>22</v>
      </c>
      <c r="H5" t="s">
        <v>1</v>
      </c>
      <c r="K5" t="s">
        <v>32</v>
      </c>
    </row>
    <row r="6" spans="1:11" x14ac:dyDescent="0.3">
      <c r="A6" t="s">
        <v>23</v>
      </c>
      <c r="B6" t="s">
        <v>14</v>
      </c>
      <c r="C6" t="s">
        <v>15</v>
      </c>
      <c r="E6">
        <v>82686</v>
      </c>
      <c r="F6">
        <v>61808</v>
      </c>
      <c r="G6" t="s">
        <v>16</v>
      </c>
      <c r="H6" t="s">
        <v>1</v>
      </c>
      <c r="K6" t="s">
        <v>22</v>
      </c>
    </row>
    <row r="7" spans="1:11" x14ac:dyDescent="0.3">
      <c r="A7" t="s">
        <v>24</v>
      </c>
      <c r="B7" t="s">
        <v>14</v>
      </c>
      <c r="C7" t="s">
        <v>15</v>
      </c>
      <c r="E7">
        <v>232245</v>
      </c>
      <c r="F7">
        <v>155518</v>
      </c>
      <c r="G7" t="s">
        <v>25</v>
      </c>
      <c r="H7" t="s">
        <v>1</v>
      </c>
      <c r="K7" t="s">
        <v>25</v>
      </c>
    </row>
    <row r="8" spans="1:11" x14ac:dyDescent="0.3">
      <c r="A8" t="s">
        <v>26</v>
      </c>
      <c r="B8" t="s">
        <v>14</v>
      </c>
      <c r="C8" t="s">
        <v>15</v>
      </c>
      <c r="E8">
        <v>188325</v>
      </c>
      <c r="F8">
        <v>146404</v>
      </c>
      <c r="G8" t="s">
        <v>27</v>
      </c>
      <c r="H8" t="s">
        <v>1</v>
      </c>
      <c r="K8" t="s">
        <v>35</v>
      </c>
    </row>
    <row r="9" spans="1:11" x14ac:dyDescent="0.3">
      <c r="A9" t="s">
        <v>28</v>
      </c>
      <c r="B9" t="s">
        <v>14</v>
      </c>
      <c r="C9" t="s">
        <v>15</v>
      </c>
      <c r="E9">
        <v>158316</v>
      </c>
      <c r="F9">
        <v>120511</v>
      </c>
      <c r="G9" t="s">
        <v>27</v>
      </c>
      <c r="H9" t="s">
        <v>1</v>
      </c>
      <c r="K9" t="s">
        <v>40</v>
      </c>
    </row>
    <row r="10" spans="1:11" x14ac:dyDescent="0.3">
      <c r="A10" t="s">
        <v>29</v>
      </c>
      <c r="B10" t="s">
        <v>14</v>
      </c>
      <c r="C10" t="s">
        <v>30</v>
      </c>
      <c r="E10">
        <v>283600</v>
      </c>
      <c r="F10">
        <v>200814</v>
      </c>
      <c r="G10" t="s">
        <v>27</v>
      </c>
      <c r="H10" t="s">
        <v>1</v>
      </c>
      <c r="K10" t="s">
        <v>150</v>
      </c>
    </row>
    <row r="11" spans="1:11" x14ac:dyDescent="0.3">
      <c r="A11" t="s">
        <v>31</v>
      </c>
      <c r="B11" t="s">
        <v>14</v>
      </c>
      <c r="C11" t="s">
        <v>30</v>
      </c>
      <c r="E11">
        <v>293445</v>
      </c>
      <c r="F11">
        <v>213493</v>
      </c>
      <c r="G11" t="s">
        <v>32</v>
      </c>
      <c r="H11" t="s">
        <v>1</v>
      </c>
      <c r="K11" t="s">
        <v>133</v>
      </c>
    </row>
    <row r="12" spans="1:11" x14ac:dyDescent="0.3">
      <c r="A12" t="s">
        <v>33</v>
      </c>
      <c r="B12" t="s">
        <v>14</v>
      </c>
      <c r="C12" t="s">
        <v>30</v>
      </c>
      <c r="E12">
        <v>549492</v>
      </c>
      <c r="F12">
        <v>396114</v>
      </c>
      <c r="G12" t="s">
        <v>22</v>
      </c>
      <c r="H12" t="s">
        <v>1</v>
      </c>
      <c r="K12" t="s">
        <v>107</v>
      </c>
    </row>
    <row r="13" spans="1:11" x14ac:dyDescent="0.3">
      <c r="A13" t="s">
        <v>34</v>
      </c>
      <c r="B13" t="s">
        <v>14</v>
      </c>
      <c r="C13" t="s">
        <v>30</v>
      </c>
      <c r="E13">
        <v>267607</v>
      </c>
      <c r="F13">
        <v>194651</v>
      </c>
      <c r="G13" t="s">
        <v>35</v>
      </c>
      <c r="H13" t="s">
        <v>1</v>
      </c>
      <c r="K13" t="s">
        <v>292</v>
      </c>
    </row>
    <row r="14" spans="1:11" x14ac:dyDescent="0.3">
      <c r="A14" t="s">
        <v>36</v>
      </c>
      <c r="B14" t="s">
        <v>37</v>
      </c>
      <c r="C14" t="s">
        <v>38</v>
      </c>
      <c r="D14" t="s">
        <v>39</v>
      </c>
      <c r="E14">
        <v>111712</v>
      </c>
      <c r="F14">
        <v>75829</v>
      </c>
      <c r="G14" t="s">
        <v>40</v>
      </c>
      <c r="H14" t="s">
        <v>1</v>
      </c>
      <c r="K14" t="s">
        <v>287</v>
      </c>
    </row>
    <row r="15" spans="1:11" x14ac:dyDescent="0.3">
      <c r="A15" t="s">
        <v>41</v>
      </c>
      <c r="B15" t="s">
        <v>37</v>
      </c>
      <c r="C15" t="s">
        <v>38</v>
      </c>
      <c r="D15" t="s">
        <v>42</v>
      </c>
      <c r="E15">
        <v>508575</v>
      </c>
      <c r="F15">
        <v>386248</v>
      </c>
      <c r="G15" t="s">
        <v>27</v>
      </c>
      <c r="H15" t="s">
        <v>1</v>
      </c>
      <c r="K15" t="s">
        <v>280</v>
      </c>
    </row>
    <row r="16" spans="1:11" x14ac:dyDescent="0.3">
      <c r="A16" t="s">
        <v>43</v>
      </c>
      <c r="B16" t="s">
        <v>37</v>
      </c>
      <c r="C16" t="s">
        <v>38</v>
      </c>
      <c r="E16">
        <v>140076</v>
      </c>
      <c r="F16">
        <v>97355</v>
      </c>
      <c r="G16" t="s">
        <v>16</v>
      </c>
      <c r="H16" t="s">
        <v>1</v>
      </c>
      <c r="K16" t="s">
        <v>258</v>
      </c>
    </row>
    <row r="17" spans="1:11" x14ac:dyDescent="0.3">
      <c r="A17" t="s">
        <v>44</v>
      </c>
      <c r="B17" t="s">
        <v>37</v>
      </c>
      <c r="C17" t="s">
        <v>45</v>
      </c>
      <c r="D17" t="s">
        <v>45</v>
      </c>
      <c r="E17">
        <v>138390</v>
      </c>
      <c r="F17">
        <v>109424</v>
      </c>
      <c r="G17" t="s">
        <v>27</v>
      </c>
      <c r="H17" t="s">
        <v>1</v>
      </c>
      <c r="K17" t="s">
        <v>167</v>
      </c>
    </row>
    <row r="18" spans="1:11" x14ac:dyDescent="0.3">
      <c r="A18" t="s">
        <v>46</v>
      </c>
      <c r="B18" t="s">
        <v>37</v>
      </c>
      <c r="C18" t="s">
        <v>45</v>
      </c>
      <c r="D18" t="s">
        <v>45</v>
      </c>
      <c r="E18">
        <v>104891</v>
      </c>
      <c r="F18">
        <v>70915</v>
      </c>
      <c r="G18" t="s">
        <v>16</v>
      </c>
      <c r="H18" t="s">
        <v>1</v>
      </c>
      <c r="K18" t="s">
        <v>175</v>
      </c>
    </row>
    <row r="19" spans="1:11" x14ac:dyDescent="0.3">
      <c r="A19" t="s">
        <v>47</v>
      </c>
      <c r="B19" t="s">
        <v>37</v>
      </c>
      <c r="C19" t="s">
        <v>45</v>
      </c>
      <c r="E19">
        <v>174096</v>
      </c>
      <c r="F19">
        <v>126966</v>
      </c>
      <c r="G19" t="s">
        <v>32</v>
      </c>
      <c r="H19" t="s">
        <v>1</v>
      </c>
    </row>
    <row r="20" spans="1:11" x14ac:dyDescent="0.3">
      <c r="A20" t="s">
        <v>48</v>
      </c>
      <c r="B20" t="s">
        <v>37</v>
      </c>
      <c r="C20" t="s">
        <v>45</v>
      </c>
      <c r="E20">
        <v>237502</v>
      </c>
      <c r="F20">
        <v>170194</v>
      </c>
      <c r="G20" t="s">
        <v>22</v>
      </c>
      <c r="H20" t="s">
        <v>1</v>
      </c>
    </row>
    <row r="21" spans="1:11" x14ac:dyDescent="0.3">
      <c r="A21" t="s">
        <v>49</v>
      </c>
      <c r="B21" t="s">
        <v>37</v>
      </c>
      <c r="C21" t="s">
        <v>45</v>
      </c>
      <c r="E21">
        <v>210002</v>
      </c>
      <c r="F21">
        <v>145134</v>
      </c>
      <c r="G21" t="s">
        <v>22</v>
      </c>
      <c r="H21" t="s">
        <v>1</v>
      </c>
    </row>
    <row r="22" spans="1:11" x14ac:dyDescent="0.3">
      <c r="A22" t="s">
        <v>50</v>
      </c>
      <c r="B22" t="s">
        <v>37</v>
      </c>
      <c r="C22" t="s">
        <v>45</v>
      </c>
      <c r="E22">
        <v>227222</v>
      </c>
      <c r="F22">
        <v>151557</v>
      </c>
      <c r="G22" t="s">
        <v>35</v>
      </c>
      <c r="H22" t="s">
        <v>1</v>
      </c>
    </row>
    <row r="23" spans="1:11" x14ac:dyDescent="0.3">
      <c r="A23" t="s">
        <v>51</v>
      </c>
      <c r="B23" t="s">
        <v>37</v>
      </c>
      <c r="C23" t="s">
        <v>45</v>
      </c>
      <c r="E23">
        <v>143404</v>
      </c>
      <c r="F23">
        <v>91579</v>
      </c>
      <c r="G23" t="s">
        <v>35</v>
      </c>
      <c r="H23" t="s">
        <v>1</v>
      </c>
    </row>
    <row r="24" spans="1:11" x14ac:dyDescent="0.3">
      <c r="A24" t="s">
        <v>52</v>
      </c>
      <c r="B24" t="s">
        <v>37</v>
      </c>
      <c r="C24" t="s">
        <v>38</v>
      </c>
      <c r="E24">
        <v>168477</v>
      </c>
      <c r="F24">
        <v>118775</v>
      </c>
      <c r="G24" t="s">
        <v>22</v>
      </c>
      <c r="H24" t="s">
        <v>1</v>
      </c>
    </row>
    <row r="25" spans="1:11" x14ac:dyDescent="0.3">
      <c r="A25" t="s">
        <v>53</v>
      </c>
      <c r="B25" t="s">
        <v>37</v>
      </c>
      <c r="C25" t="s">
        <v>38</v>
      </c>
      <c r="E25">
        <v>170475</v>
      </c>
      <c r="F25">
        <v>127596</v>
      </c>
      <c r="G25" t="s">
        <v>22</v>
      </c>
      <c r="H25" t="s">
        <v>1</v>
      </c>
    </row>
    <row r="26" spans="1:11" x14ac:dyDescent="0.3">
      <c r="A26" t="s">
        <v>54</v>
      </c>
      <c r="B26" t="s">
        <v>37</v>
      </c>
      <c r="C26" t="s">
        <v>38</v>
      </c>
      <c r="E26">
        <v>103899</v>
      </c>
      <c r="F26">
        <v>70585</v>
      </c>
      <c r="G26" t="s">
        <v>16</v>
      </c>
      <c r="H26" t="s">
        <v>1</v>
      </c>
    </row>
    <row r="27" spans="1:11" x14ac:dyDescent="0.3">
      <c r="A27" t="s">
        <v>55</v>
      </c>
      <c r="B27" t="s">
        <v>37</v>
      </c>
      <c r="C27" t="s">
        <v>56</v>
      </c>
      <c r="E27">
        <v>222184</v>
      </c>
      <c r="F27">
        <v>164478</v>
      </c>
      <c r="G27" t="s">
        <v>32</v>
      </c>
      <c r="H27" t="s">
        <v>1</v>
      </c>
    </row>
    <row r="28" spans="1:11" x14ac:dyDescent="0.3">
      <c r="A28" t="s">
        <v>57</v>
      </c>
      <c r="B28" t="s">
        <v>37</v>
      </c>
      <c r="C28" t="s">
        <v>56</v>
      </c>
      <c r="E28">
        <v>248079</v>
      </c>
      <c r="F28">
        <v>181124</v>
      </c>
      <c r="G28" t="s">
        <v>32</v>
      </c>
      <c r="H28" t="s">
        <v>1</v>
      </c>
    </row>
    <row r="29" spans="1:11" x14ac:dyDescent="0.3">
      <c r="A29" t="s">
        <v>58</v>
      </c>
      <c r="B29" t="s">
        <v>37</v>
      </c>
      <c r="C29" t="s">
        <v>56</v>
      </c>
      <c r="E29">
        <v>145226</v>
      </c>
      <c r="F29">
        <v>104387</v>
      </c>
      <c r="G29" t="s">
        <v>27</v>
      </c>
      <c r="H29" t="s">
        <v>1</v>
      </c>
    </row>
    <row r="30" spans="1:11" x14ac:dyDescent="0.3">
      <c r="A30" t="s">
        <v>59</v>
      </c>
      <c r="B30" t="s">
        <v>37</v>
      </c>
      <c r="C30" t="s">
        <v>56</v>
      </c>
      <c r="D30" t="s">
        <v>60</v>
      </c>
      <c r="E30">
        <v>65559</v>
      </c>
      <c r="F30">
        <v>44101</v>
      </c>
      <c r="G30" t="s">
        <v>16</v>
      </c>
      <c r="H30" t="s">
        <v>1</v>
      </c>
    </row>
    <row r="31" spans="1:11" x14ac:dyDescent="0.3">
      <c r="A31" t="s">
        <v>61</v>
      </c>
      <c r="B31" t="s">
        <v>37</v>
      </c>
      <c r="C31" t="s">
        <v>56</v>
      </c>
      <c r="E31">
        <v>174011</v>
      </c>
      <c r="F31">
        <v>135775</v>
      </c>
      <c r="G31" t="s">
        <v>22</v>
      </c>
      <c r="H31" t="s">
        <v>1</v>
      </c>
    </row>
    <row r="32" spans="1:11" x14ac:dyDescent="0.3">
      <c r="A32" t="s">
        <v>62</v>
      </c>
      <c r="B32" t="s">
        <v>37</v>
      </c>
      <c r="C32" t="s">
        <v>56</v>
      </c>
      <c r="E32">
        <v>242483</v>
      </c>
      <c r="F32">
        <v>176476</v>
      </c>
      <c r="G32" t="s">
        <v>22</v>
      </c>
      <c r="H32" t="s">
        <v>1</v>
      </c>
    </row>
    <row r="33" spans="1:8" x14ac:dyDescent="0.3">
      <c r="A33" t="s">
        <v>63</v>
      </c>
      <c r="B33" t="s">
        <v>37</v>
      </c>
      <c r="C33" t="s">
        <v>56</v>
      </c>
      <c r="E33">
        <v>113130</v>
      </c>
      <c r="F33">
        <v>77006</v>
      </c>
      <c r="G33" t="s">
        <v>35</v>
      </c>
      <c r="H33" t="s">
        <v>1</v>
      </c>
    </row>
    <row r="34" spans="1:8" x14ac:dyDescent="0.3">
      <c r="A34" t="s">
        <v>64</v>
      </c>
      <c r="B34" t="s">
        <v>37</v>
      </c>
      <c r="C34" t="s">
        <v>56</v>
      </c>
      <c r="E34">
        <v>241446</v>
      </c>
      <c r="F34">
        <v>165682</v>
      </c>
      <c r="G34" t="s">
        <v>25</v>
      </c>
      <c r="H34" t="s">
        <v>1</v>
      </c>
    </row>
    <row r="35" spans="1:8" x14ac:dyDescent="0.3">
      <c r="A35" t="s">
        <v>65</v>
      </c>
      <c r="B35" t="s">
        <v>37</v>
      </c>
      <c r="C35" t="s">
        <v>56</v>
      </c>
      <c r="E35">
        <v>142275</v>
      </c>
      <c r="F35">
        <v>99313</v>
      </c>
      <c r="G35" t="s">
        <v>22</v>
      </c>
      <c r="H35" t="s">
        <v>1</v>
      </c>
    </row>
    <row r="36" spans="1:8" x14ac:dyDescent="0.3">
      <c r="A36" t="s">
        <v>66</v>
      </c>
      <c r="B36" t="s">
        <v>37</v>
      </c>
      <c r="C36" t="s">
        <v>56</v>
      </c>
      <c r="E36">
        <v>179225</v>
      </c>
      <c r="F36">
        <v>115334</v>
      </c>
      <c r="G36" t="s">
        <v>25</v>
      </c>
      <c r="H36" t="s">
        <v>1</v>
      </c>
    </row>
    <row r="37" spans="1:8" x14ac:dyDescent="0.3">
      <c r="A37" t="s">
        <v>67</v>
      </c>
      <c r="B37" t="s">
        <v>37</v>
      </c>
      <c r="C37" t="s">
        <v>56</v>
      </c>
      <c r="E37">
        <v>72200</v>
      </c>
      <c r="F37">
        <v>50503</v>
      </c>
      <c r="G37" t="s">
        <v>25</v>
      </c>
      <c r="H37" t="s">
        <v>1</v>
      </c>
    </row>
    <row r="38" spans="1:8" x14ac:dyDescent="0.3">
      <c r="A38" t="s">
        <v>68</v>
      </c>
      <c r="B38" t="s">
        <v>69</v>
      </c>
      <c r="C38" t="s">
        <v>69</v>
      </c>
      <c r="E38">
        <v>68747</v>
      </c>
      <c r="F38">
        <v>50705</v>
      </c>
      <c r="G38" t="s">
        <v>32</v>
      </c>
      <c r="H38" t="s">
        <v>1</v>
      </c>
    </row>
    <row r="39" spans="1:8" x14ac:dyDescent="0.3">
      <c r="A39" t="s">
        <v>70</v>
      </c>
      <c r="B39" t="s">
        <v>69</v>
      </c>
      <c r="C39" t="s">
        <v>69</v>
      </c>
      <c r="E39">
        <v>95901</v>
      </c>
      <c r="F39">
        <v>69984</v>
      </c>
      <c r="G39" t="s">
        <v>25</v>
      </c>
      <c r="H39" t="s">
        <v>1</v>
      </c>
    </row>
    <row r="40" spans="1:8" x14ac:dyDescent="0.3">
      <c r="A40" t="s">
        <v>71</v>
      </c>
      <c r="B40" t="s">
        <v>69</v>
      </c>
      <c r="C40" t="s">
        <v>69</v>
      </c>
      <c r="E40">
        <v>132064</v>
      </c>
      <c r="F40">
        <v>94918</v>
      </c>
      <c r="G40" t="s">
        <v>35</v>
      </c>
      <c r="H40" t="s">
        <v>1</v>
      </c>
    </row>
    <row r="41" spans="1:8" x14ac:dyDescent="0.3">
      <c r="A41" t="s">
        <v>72</v>
      </c>
      <c r="B41" t="s">
        <v>69</v>
      </c>
      <c r="C41" t="s">
        <v>69</v>
      </c>
      <c r="E41">
        <v>112015</v>
      </c>
      <c r="F41">
        <v>89347</v>
      </c>
      <c r="G41" t="s">
        <v>22</v>
      </c>
      <c r="H41" t="s">
        <v>1</v>
      </c>
    </row>
    <row r="42" spans="1:8" x14ac:dyDescent="0.3">
      <c r="A42" t="s">
        <v>73</v>
      </c>
      <c r="B42" t="s">
        <v>69</v>
      </c>
      <c r="C42" t="s">
        <v>69</v>
      </c>
      <c r="E42">
        <v>209778</v>
      </c>
      <c r="F42">
        <v>140642</v>
      </c>
      <c r="G42" t="s">
        <v>16</v>
      </c>
      <c r="H42" t="s">
        <v>1</v>
      </c>
    </row>
    <row r="43" spans="1:8" x14ac:dyDescent="0.3">
      <c r="A43" t="s">
        <v>74</v>
      </c>
      <c r="B43" t="s">
        <v>69</v>
      </c>
      <c r="C43" t="s">
        <v>69</v>
      </c>
      <c r="E43">
        <v>181701</v>
      </c>
      <c r="F43">
        <v>136551</v>
      </c>
      <c r="G43" t="s">
        <v>27</v>
      </c>
      <c r="H43" t="s">
        <v>1</v>
      </c>
    </row>
    <row r="44" spans="1:8" x14ac:dyDescent="0.3">
      <c r="A44" t="s">
        <v>75</v>
      </c>
      <c r="B44" t="s">
        <v>69</v>
      </c>
      <c r="C44" t="s">
        <v>69</v>
      </c>
      <c r="E44">
        <v>208939</v>
      </c>
      <c r="F44">
        <v>153864</v>
      </c>
      <c r="G44" t="s">
        <v>27</v>
      </c>
      <c r="H44" t="s">
        <v>1</v>
      </c>
    </row>
    <row r="45" spans="1:8" x14ac:dyDescent="0.3">
      <c r="A45" t="s">
        <v>76</v>
      </c>
      <c r="B45" t="s">
        <v>69</v>
      </c>
      <c r="C45" t="s">
        <v>69</v>
      </c>
      <c r="E45">
        <v>179812</v>
      </c>
      <c r="F45">
        <v>117913</v>
      </c>
      <c r="G45" t="s">
        <v>27</v>
      </c>
      <c r="H45" t="s">
        <v>1</v>
      </c>
    </row>
    <row r="46" spans="1:8" x14ac:dyDescent="0.3">
      <c r="A46" t="s">
        <v>77</v>
      </c>
      <c r="B46" t="s">
        <v>69</v>
      </c>
      <c r="C46" t="s">
        <v>78</v>
      </c>
      <c r="E46">
        <v>186078</v>
      </c>
      <c r="F46">
        <v>122774</v>
      </c>
      <c r="G46" t="s">
        <v>27</v>
      </c>
      <c r="H46" t="s">
        <v>1</v>
      </c>
    </row>
    <row r="47" spans="1:8" x14ac:dyDescent="0.3">
      <c r="A47" t="s">
        <v>79</v>
      </c>
      <c r="B47" t="s">
        <v>69</v>
      </c>
      <c r="C47" t="s">
        <v>78</v>
      </c>
      <c r="E47">
        <v>254117</v>
      </c>
      <c r="F47">
        <v>195401</v>
      </c>
      <c r="G47" t="s">
        <v>22</v>
      </c>
      <c r="H47" t="s">
        <v>1</v>
      </c>
    </row>
    <row r="48" spans="1:8" x14ac:dyDescent="0.3">
      <c r="A48" t="s">
        <v>80</v>
      </c>
      <c r="B48" t="s">
        <v>69</v>
      </c>
      <c r="C48" t="s">
        <v>78</v>
      </c>
      <c r="E48">
        <v>159146</v>
      </c>
      <c r="F48">
        <v>104888</v>
      </c>
      <c r="G48" t="s">
        <v>35</v>
      </c>
      <c r="H48" t="s">
        <v>1</v>
      </c>
    </row>
    <row r="49" spans="1:8" x14ac:dyDescent="0.3">
      <c r="A49" t="s">
        <v>81</v>
      </c>
      <c r="B49" t="s">
        <v>69</v>
      </c>
      <c r="C49" t="s">
        <v>78</v>
      </c>
      <c r="E49">
        <v>187741</v>
      </c>
      <c r="F49">
        <v>133803</v>
      </c>
      <c r="G49" t="s">
        <v>22</v>
      </c>
      <c r="H49" t="s">
        <v>1</v>
      </c>
    </row>
    <row r="50" spans="1:8" x14ac:dyDescent="0.3">
      <c r="A50" t="s">
        <v>82</v>
      </c>
      <c r="B50" t="s">
        <v>69</v>
      </c>
      <c r="C50" t="s">
        <v>78</v>
      </c>
      <c r="E50">
        <v>244184</v>
      </c>
      <c r="F50">
        <v>155807</v>
      </c>
      <c r="G50" t="s">
        <v>35</v>
      </c>
      <c r="H50" t="s">
        <v>1</v>
      </c>
    </row>
    <row r="51" spans="1:8" x14ac:dyDescent="0.3">
      <c r="A51" t="s">
        <v>83</v>
      </c>
      <c r="B51" t="s">
        <v>69</v>
      </c>
      <c r="C51" t="s">
        <v>78</v>
      </c>
      <c r="E51">
        <v>215533</v>
      </c>
      <c r="F51">
        <v>164635</v>
      </c>
      <c r="G51" t="s">
        <v>22</v>
      </c>
      <c r="H51" t="s">
        <v>1</v>
      </c>
    </row>
    <row r="52" spans="1:8" x14ac:dyDescent="0.3">
      <c r="A52" t="s">
        <v>84</v>
      </c>
      <c r="B52" t="s">
        <v>85</v>
      </c>
      <c r="C52" t="s">
        <v>85</v>
      </c>
      <c r="D52" t="s">
        <v>86</v>
      </c>
      <c r="E52">
        <v>193912</v>
      </c>
      <c r="F52">
        <v>126086</v>
      </c>
      <c r="G52" t="s">
        <v>16</v>
      </c>
      <c r="H52" t="s">
        <v>1</v>
      </c>
    </row>
    <row r="53" spans="1:8" x14ac:dyDescent="0.3">
      <c r="A53" t="s">
        <v>87</v>
      </c>
      <c r="B53" t="s">
        <v>85</v>
      </c>
      <c r="C53" t="s">
        <v>85</v>
      </c>
      <c r="E53">
        <v>219885</v>
      </c>
      <c r="F53">
        <v>158109</v>
      </c>
      <c r="G53" t="s">
        <v>27</v>
      </c>
      <c r="H53" t="s">
        <v>1</v>
      </c>
    </row>
    <row r="54" spans="1:8" x14ac:dyDescent="0.3">
      <c r="A54" t="s">
        <v>88</v>
      </c>
      <c r="B54" t="s">
        <v>85</v>
      </c>
      <c r="C54" t="s">
        <v>85</v>
      </c>
      <c r="E54">
        <v>123527</v>
      </c>
      <c r="F54">
        <v>85615</v>
      </c>
      <c r="G54" t="s">
        <v>27</v>
      </c>
      <c r="H54" t="s">
        <v>1</v>
      </c>
    </row>
    <row r="55" spans="1:8" x14ac:dyDescent="0.3">
      <c r="A55" t="s">
        <v>89</v>
      </c>
      <c r="B55" t="s">
        <v>85</v>
      </c>
      <c r="C55" t="s">
        <v>85</v>
      </c>
      <c r="E55">
        <v>260321</v>
      </c>
      <c r="F55">
        <v>202259</v>
      </c>
      <c r="G55" t="s">
        <v>32</v>
      </c>
      <c r="H55" t="s">
        <v>1</v>
      </c>
    </row>
    <row r="56" spans="1:8" x14ac:dyDescent="0.3">
      <c r="A56" t="s">
        <v>90</v>
      </c>
      <c r="B56" t="s">
        <v>85</v>
      </c>
      <c r="C56" t="s">
        <v>85</v>
      </c>
      <c r="E56">
        <v>217637</v>
      </c>
      <c r="F56">
        <v>162627</v>
      </c>
      <c r="G56" t="s">
        <v>27</v>
      </c>
      <c r="H56" t="s">
        <v>1</v>
      </c>
    </row>
    <row r="57" spans="1:8" x14ac:dyDescent="0.3">
      <c r="A57" t="s">
        <v>91</v>
      </c>
      <c r="B57" t="s">
        <v>85</v>
      </c>
      <c r="C57" t="s">
        <v>85</v>
      </c>
      <c r="E57">
        <v>182352</v>
      </c>
      <c r="F57">
        <v>139990</v>
      </c>
      <c r="G57" t="s">
        <v>22</v>
      </c>
      <c r="H57" t="s">
        <v>1</v>
      </c>
    </row>
    <row r="58" spans="1:8" x14ac:dyDescent="0.3">
      <c r="A58" t="s">
        <v>92</v>
      </c>
      <c r="B58" t="s">
        <v>85</v>
      </c>
      <c r="C58" t="s">
        <v>85</v>
      </c>
      <c r="E58">
        <v>161137</v>
      </c>
      <c r="F58">
        <v>121124</v>
      </c>
      <c r="G58" t="s">
        <v>22</v>
      </c>
      <c r="H58" t="s">
        <v>1</v>
      </c>
    </row>
    <row r="59" spans="1:8" x14ac:dyDescent="0.3">
      <c r="A59" t="s">
        <v>93</v>
      </c>
      <c r="B59" t="s">
        <v>85</v>
      </c>
      <c r="C59" t="s">
        <v>85</v>
      </c>
      <c r="E59">
        <v>143103</v>
      </c>
      <c r="F59">
        <v>105482</v>
      </c>
      <c r="G59" t="s">
        <v>27</v>
      </c>
      <c r="H59" t="s">
        <v>1</v>
      </c>
    </row>
    <row r="60" spans="1:8" x14ac:dyDescent="0.3">
      <c r="A60" t="s">
        <v>94</v>
      </c>
      <c r="B60" t="s">
        <v>85</v>
      </c>
      <c r="C60" t="s">
        <v>85</v>
      </c>
      <c r="E60">
        <v>131564</v>
      </c>
      <c r="F60">
        <v>94686</v>
      </c>
      <c r="G60" t="s">
        <v>32</v>
      </c>
      <c r="H60" t="s">
        <v>1</v>
      </c>
    </row>
    <row r="61" spans="1:8" x14ac:dyDescent="0.3">
      <c r="A61" t="s">
        <v>95</v>
      </c>
      <c r="B61" t="s">
        <v>85</v>
      </c>
      <c r="C61" t="s">
        <v>85</v>
      </c>
      <c r="E61">
        <v>99912</v>
      </c>
      <c r="F61">
        <v>74223</v>
      </c>
      <c r="G61" t="s">
        <v>27</v>
      </c>
      <c r="H61" t="s">
        <v>1</v>
      </c>
    </row>
    <row r="62" spans="1:8" x14ac:dyDescent="0.3">
      <c r="A62" t="s">
        <v>96</v>
      </c>
      <c r="B62" t="s">
        <v>85</v>
      </c>
      <c r="C62" t="s">
        <v>85</v>
      </c>
      <c r="E62">
        <v>154951</v>
      </c>
      <c r="F62">
        <v>105627</v>
      </c>
      <c r="G62" t="s">
        <v>25</v>
      </c>
      <c r="H62" t="s">
        <v>1</v>
      </c>
    </row>
    <row r="63" spans="1:8" x14ac:dyDescent="0.3">
      <c r="A63" t="s">
        <v>97</v>
      </c>
      <c r="B63" t="s">
        <v>98</v>
      </c>
      <c r="C63" t="s">
        <v>98</v>
      </c>
      <c r="D63" t="s">
        <v>99</v>
      </c>
      <c r="E63">
        <v>158978</v>
      </c>
      <c r="F63">
        <v>115053</v>
      </c>
      <c r="G63" t="s">
        <v>40</v>
      </c>
      <c r="H63" t="s">
        <v>0</v>
      </c>
    </row>
    <row r="64" spans="1:8" x14ac:dyDescent="0.3">
      <c r="A64" t="s">
        <v>100</v>
      </c>
      <c r="B64" t="s">
        <v>98</v>
      </c>
      <c r="C64" t="s">
        <v>98</v>
      </c>
      <c r="D64" t="s">
        <v>99</v>
      </c>
      <c r="E64">
        <v>192015</v>
      </c>
      <c r="F64">
        <v>129212</v>
      </c>
      <c r="G64" t="s">
        <v>40</v>
      </c>
      <c r="H64" t="s">
        <v>0</v>
      </c>
    </row>
    <row r="65" spans="1:8" x14ac:dyDescent="0.3">
      <c r="A65" t="s">
        <v>101</v>
      </c>
      <c r="B65" t="s">
        <v>98</v>
      </c>
      <c r="C65" t="s">
        <v>98</v>
      </c>
      <c r="E65">
        <v>146076</v>
      </c>
      <c r="F65">
        <v>100556</v>
      </c>
      <c r="G65" t="s">
        <v>35</v>
      </c>
      <c r="H65" t="s">
        <v>0</v>
      </c>
    </row>
    <row r="66" spans="1:8" x14ac:dyDescent="0.3">
      <c r="A66" t="s">
        <v>102</v>
      </c>
      <c r="B66" t="s">
        <v>98</v>
      </c>
      <c r="C66" t="s">
        <v>98</v>
      </c>
      <c r="E66">
        <v>290092</v>
      </c>
      <c r="F66">
        <v>217483</v>
      </c>
      <c r="G66" t="s">
        <v>32</v>
      </c>
      <c r="H66" t="s">
        <v>0</v>
      </c>
    </row>
    <row r="67" spans="1:8" x14ac:dyDescent="0.3">
      <c r="A67" t="s">
        <v>103</v>
      </c>
      <c r="B67" t="s">
        <v>98</v>
      </c>
      <c r="C67" t="s">
        <v>98</v>
      </c>
      <c r="E67">
        <v>144000</v>
      </c>
      <c r="F67">
        <v>108749</v>
      </c>
      <c r="G67" t="s">
        <v>27</v>
      </c>
      <c r="H67" t="s">
        <v>0</v>
      </c>
    </row>
    <row r="68" spans="1:8" x14ac:dyDescent="0.3">
      <c r="A68" t="s">
        <v>104</v>
      </c>
      <c r="B68" t="s">
        <v>98</v>
      </c>
      <c r="C68" t="s">
        <v>98</v>
      </c>
      <c r="E68">
        <v>125188</v>
      </c>
      <c r="F68">
        <v>92352</v>
      </c>
      <c r="G68" t="s">
        <v>22</v>
      </c>
      <c r="H68" t="s">
        <v>0</v>
      </c>
    </row>
    <row r="69" spans="1:8" x14ac:dyDescent="0.3">
      <c r="A69" t="s">
        <v>105</v>
      </c>
      <c r="B69" t="s">
        <v>98</v>
      </c>
      <c r="C69" t="s">
        <v>98</v>
      </c>
      <c r="E69">
        <v>70282</v>
      </c>
      <c r="F69">
        <v>49888</v>
      </c>
      <c r="G69" t="s">
        <v>25</v>
      </c>
      <c r="H69" t="s">
        <v>0</v>
      </c>
    </row>
    <row r="70" spans="1:8" x14ac:dyDescent="0.3">
      <c r="A70" t="s">
        <v>106</v>
      </c>
      <c r="B70" t="s">
        <v>98</v>
      </c>
      <c r="C70" t="s">
        <v>98</v>
      </c>
      <c r="E70">
        <v>90559</v>
      </c>
      <c r="F70">
        <v>63793</v>
      </c>
      <c r="G70" t="s">
        <v>107</v>
      </c>
      <c r="H70" t="s">
        <v>0</v>
      </c>
    </row>
    <row r="71" spans="1:8" x14ac:dyDescent="0.3">
      <c r="A71" t="s">
        <v>108</v>
      </c>
      <c r="B71" t="s">
        <v>98</v>
      </c>
      <c r="C71" t="s">
        <v>98</v>
      </c>
      <c r="E71">
        <v>92708</v>
      </c>
      <c r="F71">
        <v>70263</v>
      </c>
      <c r="G71" t="s">
        <v>107</v>
      </c>
      <c r="H71" t="s">
        <v>0</v>
      </c>
    </row>
    <row r="72" spans="1:8" x14ac:dyDescent="0.3">
      <c r="A72" t="s">
        <v>109</v>
      </c>
      <c r="B72" t="s">
        <v>98</v>
      </c>
      <c r="C72" t="s">
        <v>98</v>
      </c>
      <c r="E72">
        <v>62019</v>
      </c>
      <c r="F72">
        <v>44599</v>
      </c>
      <c r="G72" t="s">
        <v>107</v>
      </c>
      <c r="H72" t="s">
        <v>0</v>
      </c>
    </row>
    <row r="73" spans="1:8" x14ac:dyDescent="0.3">
      <c r="A73" t="s">
        <v>110</v>
      </c>
      <c r="B73" t="s">
        <v>98</v>
      </c>
      <c r="C73" t="s">
        <v>98</v>
      </c>
      <c r="E73">
        <v>51681</v>
      </c>
      <c r="F73">
        <v>39866</v>
      </c>
      <c r="G73" t="s">
        <v>22</v>
      </c>
      <c r="H73" t="s">
        <v>0</v>
      </c>
    </row>
    <row r="74" spans="1:8" x14ac:dyDescent="0.3">
      <c r="A74" t="s">
        <v>111</v>
      </c>
      <c r="B74" t="s">
        <v>112</v>
      </c>
      <c r="C74" t="s">
        <v>113</v>
      </c>
      <c r="E74">
        <v>186649</v>
      </c>
      <c r="F74">
        <v>137066</v>
      </c>
      <c r="G74" t="s">
        <v>16</v>
      </c>
      <c r="H74" t="s">
        <v>0</v>
      </c>
    </row>
    <row r="75" spans="1:8" x14ac:dyDescent="0.3">
      <c r="A75" t="s">
        <v>114</v>
      </c>
      <c r="B75" t="s">
        <v>112</v>
      </c>
      <c r="C75" t="s">
        <v>113</v>
      </c>
      <c r="E75">
        <v>206744</v>
      </c>
      <c r="F75">
        <v>158445</v>
      </c>
      <c r="G75" t="s">
        <v>22</v>
      </c>
      <c r="H75" t="s">
        <v>0</v>
      </c>
    </row>
    <row r="76" spans="1:8" x14ac:dyDescent="0.3">
      <c r="A76" t="s">
        <v>115</v>
      </c>
      <c r="B76" t="s">
        <v>112</v>
      </c>
      <c r="C76" t="s">
        <v>113</v>
      </c>
      <c r="E76">
        <v>151897</v>
      </c>
      <c r="F76">
        <v>103816</v>
      </c>
      <c r="G76" t="s">
        <v>35</v>
      </c>
      <c r="H76" t="s">
        <v>0</v>
      </c>
    </row>
    <row r="77" spans="1:8" x14ac:dyDescent="0.3">
      <c r="A77" t="s">
        <v>116</v>
      </c>
      <c r="B77" t="s">
        <v>112</v>
      </c>
      <c r="C77" t="s">
        <v>113</v>
      </c>
      <c r="E77">
        <v>69439</v>
      </c>
      <c r="F77">
        <v>44010</v>
      </c>
      <c r="G77" t="s">
        <v>35</v>
      </c>
      <c r="H77" t="s">
        <v>0</v>
      </c>
    </row>
    <row r="78" spans="1:8" x14ac:dyDescent="0.3">
      <c r="A78" t="s">
        <v>117</v>
      </c>
      <c r="B78" t="s">
        <v>112</v>
      </c>
      <c r="C78" t="s">
        <v>113</v>
      </c>
      <c r="E78">
        <v>70302</v>
      </c>
      <c r="F78">
        <v>57597</v>
      </c>
      <c r="G78" t="s">
        <v>27</v>
      </c>
      <c r="H78" t="s">
        <v>0</v>
      </c>
    </row>
    <row r="79" spans="1:8" x14ac:dyDescent="0.3">
      <c r="A79" t="s">
        <v>118</v>
      </c>
      <c r="B79" t="s">
        <v>112</v>
      </c>
      <c r="C79" t="s">
        <v>113</v>
      </c>
      <c r="E79">
        <v>70146</v>
      </c>
      <c r="F79">
        <v>47610</v>
      </c>
      <c r="G79" t="s">
        <v>22</v>
      </c>
      <c r="H79" t="s">
        <v>0</v>
      </c>
    </row>
    <row r="80" spans="1:8" x14ac:dyDescent="0.3">
      <c r="A80" t="s">
        <v>119</v>
      </c>
      <c r="B80" t="s">
        <v>112</v>
      </c>
      <c r="C80" t="s">
        <v>113</v>
      </c>
      <c r="E80">
        <v>183034</v>
      </c>
      <c r="F80">
        <v>136201</v>
      </c>
      <c r="G80" t="s">
        <v>22</v>
      </c>
      <c r="H80" t="s">
        <v>0</v>
      </c>
    </row>
    <row r="81" spans="1:8" x14ac:dyDescent="0.3">
      <c r="A81" t="s">
        <v>120</v>
      </c>
      <c r="B81" t="s">
        <v>112</v>
      </c>
      <c r="C81" t="s">
        <v>113</v>
      </c>
      <c r="E81">
        <v>116954</v>
      </c>
      <c r="F81">
        <v>83255</v>
      </c>
      <c r="G81" t="s">
        <v>35</v>
      </c>
      <c r="H81" t="s">
        <v>0</v>
      </c>
    </row>
    <row r="82" spans="1:8" x14ac:dyDescent="0.3">
      <c r="A82" t="s">
        <v>121</v>
      </c>
      <c r="B82" t="s">
        <v>112</v>
      </c>
      <c r="C82" t="s">
        <v>113</v>
      </c>
      <c r="E82">
        <v>295781</v>
      </c>
      <c r="F82">
        <v>233572</v>
      </c>
      <c r="G82" t="s">
        <v>22</v>
      </c>
      <c r="H82" t="s">
        <v>0</v>
      </c>
    </row>
    <row r="83" spans="1:8" x14ac:dyDescent="0.3">
      <c r="A83" t="s">
        <v>122</v>
      </c>
      <c r="B83" t="s">
        <v>112</v>
      </c>
      <c r="C83" t="s">
        <v>123</v>
      </c>
      <c r="E83">
        <v>208850</v>
      </c>
      <c r="F83">
        <v>157535</v>
      </c>
      <c r="G83" t="s">
        <v>16</v>
      </c>
      <c r="H83" t="s">
        <v>0</v>
      </c>
    </row>
    <row r="84" spans="1:8" x14ac:dyDescent="0.3">
      <c r="A84" t="s">
        <v>124</v>
      </c>
      <c r="B84" t="s">
        <v>112</v>
      </c>
      <c r="C84" t="s">
        <v>123</v>
      </c>
      <c r="E84">
        <v>325573</v>
      </c>
      <c r="F84">
        <v>233520</v>
      </c>
      <c r="G84" t="s">
        <v>35</v>
      </c>
      <c r="H84" t="s">
        <v>0</v>
      </c>
    </row>
    <row r="85" spans="1:8" x14ac:dyDescent="0.3">
      <c r="A85" t="s">
        <v>125</v>
      </c>
      <c r="B85" t="s">
        <v>112</v>
      </c>
      <c r="C85" t="s">
        <v>123</v>
      </c>
      <c r="E85">
        <v>256771</v>
      </c>
      <c r="F85">
        <v>183881</v>
      </c>
      <c r="G85" t="s">
        <v>25</v>
      </c>
      <c r="H85" t="s">
        <v>0</v>
      </c>
    </row>
    <row r="86" spans="1:8" x14ac:dyDescent="0.3">
      <c r="A86" t="s">
        <v>126</v>
      </c>
      <c r="B86" t="s">
        <v>112</v>
      </c>
      <c r="C86" t="s">
        <v>123</v>
      </c>
      <c r="E86">
        <v>71056</v>
      </c>
      <c r="F86">
        <v>50253</v>
      </c>
      <c r="G86" t="s">
        <v>22</v>
      </c>
      <c r="H86" t="s">
        <v>0</v>
      </c>
    </row>
    <row r="87" spans="1:8" x14ac:dyDescent="0.3">
      <c r="A87" t="s">
        <v>127</v>
      </c>
      <c r="B87" t="s">
        <v>112</v>
      </c>
      <c r="C87" t="s">
        <v>123</v>
      </c>
      <c r="E87">
        <v>120474</v>
      </c>
      <c r="F87">
        <v>93146</v>
      </c>
      <c r="G87" t="s">
        <v>22</v>
      </c>
      <c r="H87" t="s">
        <v>0</v>
      </c>
    </row>
    <row r="88" spans="1:8" x14ac:dyDescent="0.3">
      <c r="A88" t="s">
        <v>128</v>
      </c>
      <c r="B88" t="s">
        <v>112</v>
      </c>
      <c r="C88" t="s">
        <v>123</v>
      </c>
      <c r="E88">
        <v>178402</v>
      </c>
      <c r="F88">
        <v>136179</v>
      </c>
      <c r="G88" t="s">
        <v>27</v>
      </c>
      <c r="H88" t="s">
        <v>0</v>
      </c>
    </row>
    <row r="89" spans="1:8" x14ac:dyDescent="0.3">
      <c r="A89" t="s">
        <v>129</v>
      </c>
      <c r="B89" t="s">
        <v>112</v>
      </c>
      <c r="C89" t="s">
        <v>123</v>
      </c>
      <c r="E89">
        <v>99073</v>
      </c>
      <c r="F89">
        <v>72296</v>
      </c>
      <c r="G89" t="s">
        <v>32</v>
      </c>
      <c r="H89" t="s">
        <v>0</v>
      </c>
    </row>
    <row r="90" spans="1:8" x14ac:dyDescent="0.3">
      <c r="A90" t="s">
        <v>130</v>
      </c>
      <c r="B90" t="s">
        <v>112</v>
      </c>
      <c r="C90" t="s">
        <v>123</v>
      </c>
      <c r="E90">
        <v>99490</v>
      </c>
      <c r="F90">
        <v>72893</v>
      </c>
      <c r="G90" t="s">
        <v>27</v>
      </c>
      <c r="H90" t="s">
        <v>0</v>
      </c>
    </row>
    <row r="91" spans="1:8" x14ac:dyDescent="0.3">
      <c r="A91" t="s">
        <v>131</v>
      </c>
      <c r="B91" t="s">
        <v>112</v>
      </c>
      <c r="C91" t="s">
        <v>123</v>
      </c>
      <c r="E91">
        <v>113494</v>
      </c>
      <c r="F91">
        <v>84245</v>
      </c>
      <c r="G91" t="s">
        <v>22</v>
      </c>
      <c r="H91" t="s">
        <v>0</v>
      </c>
    </row>
    <row r="92" spans="1:8" x14ac:dyDescent="0.3">
      <c r="A92" t="s">
        <v>132</v>
      </c>
      <c r="B92" t="s">
        <v>112</v>
      </c>
      <c r="C92" t="s">
        <v>123</v>
      </c>
      <c r="E92">
        <v>100166</v>
      </c>
      <c r="F92">
        <v>73401</v>
      </c>
      <c r="G92" t="s">
        <v>133</v>
      </c>
      <c r="H92" t="s">
        <v>0</v>
      </c>
    </row>
    <row r="93" spans="1:8" x14ac:dyDescent="0.3">
      <c r="A93" t="s">
        <v>134</v>
      </c>
      <c r="B93" t="s">
        <v>135</v>
      </c>
      <c r="C93" t="s">
        <v>135</v>
      </c>
      <c r="D93" t="s">
        <v>136</v>
      </c>
      <c r="E93">
        <v>164411</v>
      </c>
      <c r="F93">
        <v>113501</v>
      </c>
      <c r="G93" t="s">
        <v>16</v>
      </c>
      <c r="H93" t="s">
        <v>1</v>
      </c>
    </row>
    <row r="94" spans="1:8" x14ac:dyDescent="0.3">
      <c r="A94" t="s">
        <v>137</v>
      </c>
      <c r="B94" t="s">
        <v>135</v>
      </c>
      <c r="C94" t="s">
        <v>135</v>
      </c>
      <c r="E94">
        <v>257528</v>
      </c>
      <c r="F94">
        <v>169479</v>
      </c>
      <c r="G94" t="s">
        <v>27</v>
      </c>
      <c r="H94" t="s">
        <v>1</v>
      </c>
    </row>
    <row r="95" spans="1:8" x14ac:dyDescent="0.3">
      <c r="A95" t="s">
        <v>138</v>
      </c>
      <c r="B95" t="s">
        <v>135</v>
      </c>
      <c r="C95" t="s">
        <v>135</v>
      </c>
      <c r="E95">
        <v>132464</v>
      </c>
      <c r="F95">
        <v>100033</v>
      </c>
      <c r="G95" t="s">
        <v>133</v>
      </c>
      <c r="H95" t="s">
        <v>1</v>
      </c>
    </row>
    <row r="96" spans="1:8" x14ac:dyDescent="0.3">
      <c r="A96" t="s">
        <v>139</v>
      </c>
      <c r="B96" t="s">
        <v>135</v>
      </c>
      <c r="C96" t="s">
        <v>135</v>
      </c>
      <c r="E96">
        <v>165711</v>
      </c>
      <c r="F96">
        <v>120780</v>
      </c>
      <c r="G96" t="s">
        <v>32</v>
      </c>
      <c r="H96" t="s">
        <v>1</v>
      </c>
    </row>
    <row r="97" spans="1:8" x14ac:dyDescent="0.3">
      <c r="A97" t="s">
        <v>140</v>
      </c>
      <c r="B97" t="s">
        <v>135</v>
      </c>
      <c r="C97" t="s">
        <v>135</v>
      </c>
      <c r="E97">
        <v>235417</v>
      </c>
      <c r="F97">
        <v>179408</v>
      </c>
      <c r="G97" t="s">
        <v>27</v>
      </c>
      <c r="H97" t="s">
        <v>1</v>
      </c>
    </row>
    <row r="98" spans="1:8" x14ac:dyDescent="0.3">
      <c r="A98" t="s">
        <v>141</v>
      </c>
      <c r="B98" t="s">
        <v>135</v>
      </c>
      <c r="C98" t="s">
        <v>135</v>
      </c>
      <c r="E98">
        <v>205303</v>
      </c>
      <c r="F98">
        <v>128058</v>
      </c>
      <c r="G98" t="s">
        <v>27</v>
      </c>
      <c r="H98" t="s">
        <v>1</v>
      </c>
    </row>
    <row r="99" spans="1:8" x14ac:dyDescent="0.3">
      <c r="A99" t="s">
        <v>142</v>
      </c>
      <c r="B99" t="s">
        <v>135</v>
      </c>
      <c r="C99" t="s">
        <v>135</v>
      </c>
      <c r="E99">
        <v>141940</v>
      </c>
      <c r="F99">
        <v>99696</v>
      </c>
      <c r="G99" t="s">
        <v>133</v>
      </c>
      <c r="H99" t="s">
        <v>1</v>
      </c>
    </row>
    <row r="100" spans="1:8" x14ac:dyDescent="0.3">
      <c r="A100" t="s">
        <v>143</v>
      </c>
      <c r="B100" t="s">
        <v>135</v>
      </c>
      <c r="C100" t="s">
        <v>135</v>
      </c>
      <c r="E100">
        <v>121148</v>
      </c>
      <c r="F100">
        <v>87997</v>
      </c>
      <c r="G100" t="s">
        <v>25</v>
      </c>
      <c r="H100" t="s">
        <v>1</v>
      </c>
    </row>
    <row r="101" spans="1:8" x14ac:dyDescent="0.3">
      <c r="A101" t="s">
        <v>144</v>
      </c>
      <c r="B101" t="s">
        <v>135</v>
      </c>
      <c r="C101" t="s">
        <v>135</v>
      </c>
      <c r="E101">
        <v>199900</v>
      </c>
      <c r="F101">
        <v>151012</v>
      </c>
      <c r="G101" t="s">
        <v>22</v>
      </c>
      <c r="H101" t="s">
        <v>1</v>
      </c>
    </row>
    <row r="102" spans="1:8" x14ac:dyDescent="0.3">
      <c r="A102" t="s">
        <v>145</v>
      </c>
      <c r="B102" t="s">
        <v>135</v>
      </c>
      <c r="C102" t="s">
        <v>135</v>
      </c>
      <c r="D102" t="s">
        <v>146</v>
      </c>
      <c r="E102">
        <v>278710</v>
      </c>
      <c r="F102">
        <v>175587</v>
      </c>
      <c r="G102" t="s">
        <v>16</v>
      </c>
      <c r="H102" t="s">
        <v>1</v>
      </c>
    </row>
    <row r="103" spans="1:8" x14ac:dyDescent="0.3">
      <c r="A103" t="s">
        <v>147</v>
      </c>
      <c r="B103" t="s">
        <v>148</v>
      </c>
      <c r="C103" t="s">
        <v>149</v>
      </c>
      <c r="E103">
        <v>1188924</v>
      </c>
      <c r="F103">
        <v>833291</v>
      </c>
      <c r="G103" t="s">
        <v>150</v>
      </c>
      <c r="H103" t="s">
        <v>1</v>
      </c>
    </row>
    <row r="104" spans="1:8" x14ac:dyDescent="0.3">
      <c r="A104" t="s">
        <v>151</v>
      </c>
      <c r="B104" t="s">
        <v>148</v>
      </c>
      <c r="C104" t="s">
        <v>148</v>
      </c>
      <c r="E104">
        <v>173639</v>
      </c>
      <c r="F104">
        <v>123243</v>
      </c>
      <c r="G104" t="s">
        <v>32</v>
      </c>
      <c r="H104" t="s">
        <v>1</v>
      </c>
    </row>
    <row r="105" spans="1:8" x14ac:dyDescent="0.3">
      <c r="A105" t="s">
        <v>152</v>
      </c>
      <c r="B105" t="s">
        <v>148</v>
      </c>
      <c r="C105" t="s">
        <v>148</v>
      </c>
      <c r="E105">
        <v>261113</v>
      </c>
      <c r="F105">
        <v>181167</v>
      </c>
      <c r="G105" t="s">
        <v>27</v>
      </c>
      <c r="H105" t="s">
        <v>1</v>
      </c>
    </row>
    <row r="106" spans="1:8" x14ac:dyDescent="0.3">
      <c r="A106" t="s">
        <v>153</v>
      </c>
      <c r="B106" t="s">
        <v>148</v>
      </c>
      <c r="C106" t="s">
        <v>148</v>
      </c>
      <c r="D106" t="s">
        <v>154</v>
      </c>
      <c r="E106">
        <v>229124</v>
      </c>
      <c r="F106">
        <v>162845</v>
      </c>
      <c r="G106" t="s">
        <v>40</v>
      </c>
      <c r="H106" t="s">
        <v>1</v>
      </c>
    </row>
    <row r="107" spans="1:8" x14ac:dyDescent="0.3">
      <c r="A107" t="s">
        <v>155</v>
      </c>
      <c r="B107" t="s">
        <v>148</v>
      </c>
      <c r="C107" t="s">
        <v>148</v>
      </c>
      <c r="E107">
        <v>262990</v>
      </c>
      <c r="F107">
        <v>200061</v>
      </c>
      <c r="G107" t="s">
        <v>27</v>
      </c>
      <c r="H107" t="s">
        <v>1</v>
      </c>
    </row>
    <row r="108" spans="1:8" x14ac:dyDescent="0.3">
      <c r="A108" t="s">
        <v>156</v>
      </c>
      <c r="B108" t="s">
        <v>148</v>
      </c>
      <c r="C108" t="s">
        <v>148</v>
      </c>
      <c r="E108">
        <v>232191</v>
      </c>
      <c r="F108">
        <v>159119</v>
      </c>
      <c r="G108" t="s">
        <v>27</v>
      </c>
      <c r="H108" t="s">
        <v>1</v>
      </c>
    </row>
    <row r="109" spans="1:8" x14ac:dyDescent="0.3">
      <c r="A109" t="s">
        <v>157</v>
      </c>
      <c r="B109" t="s">
        <v>148</v>
      </c>
      <c r="C109" t="s">
        <v>158</v>
      </c>
      <c r="E109">
        <v>1180044</v>
      </c>
      <c r="F109">
        <v>888737</v>
      </c>
      <c r="G109" t="s">
        <v>150</v>
      </c>
      <c r="H109" t="s">
        <v>1</v>
      </c>
    </row>
    <row r="110" spans="1:8" x14ac:dyDescent="0.3">
      <c r="A110" t="s">
        <v>159</v>
      </c>
      <c r="B110" t="s">
        <v>148</v>
      </c>
      <c r="C110" t="s">
        <v>158</v>
      </c>
      <c r="E110">
        <v>510978</v>
      </c>
      <c r="F110">
        <v>387479</v>
      </c>
      <c r="G110" t="s">
        <v>150</v>
      </c>
      <c r="H110" t="s">
        <v>1</v>
      </c>
    </row>
    <row r="111" spans="1:8" x14ac:dyDescent="0.3">
      <c r="A111" t="s">
        <v>160</v>
      </c>
      <c r="B111" t="s">
        <v>161</v>
      </c>
      <c r="C111" t="s">
        <v>161</v>
      </c>
      <c r="E111">
        <v>157244</v>
      </c>
      <c r="F111">
        <v>117490</v>
      </c>
      <c r="G111" t="s">
        <v>32</v>
      </c>
      <c r="H111" t="s">
        <v>1</v>
      </c>
    </row>
    <row r="112" spans="1:8" x14ac:dyDescent="0.3">
      <c r="A112" t="s">
        <v>162</v>
      </c>
      <c r="B112" t="s">
        <v>161</v>
      </c>
      <c r="C112" t="s">
        <v>161</v>
      </c>
      <c r="E112">
        <v>111400</v>
      </c>
      <c r="F112">
        <v>85337</v>
      </c>
      <c r="G112" t="s">
        <v>22</v>
      </c>
      <c r="H112" t="s">
        <v>1</v>
      </c>
    </row>
    <row r="113" spans="1:8" x14ac:dyDescent="0.3">
      <c r="A113" t="s">
        <v>163</v>
      </c>
      <c r="B113" t="s">
        <v>161</v>
      </c>
      <c r="C113" t="s">
        <v>161</v>
      </c>
      <c r="E113">
        <v>103749</v>
      </c>
      <c r="F113">
        <v>74468</v>
      </c>
      <c r="G113" t="s">
        <v>27</v>
      </c>
      <c r="H113" t="s">
        <v>1</v>
      </c>
    </row>
    <row r="114" spans="1:8" x14ac:dyDescent="0.3">
      <c r="A114" t="s">
        <v>164</v>
      </c>
      <c r="B114" t="s">
        <v>161</v>
      </c>
      <c r="C114" t="s">
        <v>161</v>
      </c>
      <c r="E114">
        <v>186690</v>
      </c>
      <c r="F114">
        <v>127008</v>
      </c>
      <c r="G114" t="s">
        <v>27</v>
      </c>
      <c r="H114" t="s">
        <v>1</v>
      </c>
    </row>
    <row r="115" spans="1:8" x14ac:dyDescent="0.3">
      <c r="A115" t="s">
        <v>165</v>
      </c>
      <c r="B115" t="s">
        <v>161</v>
      </c>
      <c r="C115" t="s">
        <v>161</v>
      </c>
      <c r="E115">
        <v>69830</v>
      </c>
      <c r="F115">
        <v>49397</v>
      </c>
      <c r="G115" t="s">
        <v>107</v>
      </c>
      <c r="H115" t="s">
        <v>1</v>
      </c>
    </row>
    <row r="116" spans="1:8" x14ac:dyDescent="0.3">
      <c r="A116" t="s">
        <v>166</v>
      </c>
      <c r="B116" t="s">
        <v>161</v>
      </c>
      <c r="C116" t="s">
        <v>161</v>
      </c>
      <c r="E116">
        <v>81609</v>
      </c>
      <c r="F116">
        <v>61576</v>
      </c>
      <c r="G116" t="s">
        <v>167</v>
      </c>
      <c r="H116" t="s">
        <v>1</v>
      </c>
    </row>
    <row r="117" spans="1:8" x14ac:dyDescent="0.3">
      <c r="A117" t="s">
        <v>168</v>
      </c>
      <c r="B117" t="s">
        <v>169</v>
      </c>
      <c r="C117" t="s">
        <v>170</v>
      </c>
      <c r="E117">
        <v>83554</v>
      </c>
      <c r="F117">
        <v>61228</v>
      </c>
      <c r="G117" t="s">
        <v>167</v>
      </c>
      <c r="H117" t="s">
        <v>0</v>
      </c>
    </row>
    <row r="118" spans="1:8" x14ac:dyDescent="0.3">
      <c r="A118" t="s">
        <v>171</v>
      </c>
      <c r="B118" t="s">
        <v>169</v>
      </c>
      <c r="C118" t="s">
        <v>170</v>
      </c>
      <c r="E118">
        <v>255730</v>
      </c>
      <c r="F118">
        <v>173391</v>
      </c>
      <c r="G118" t="s">
        <v>27</v>
      </c>
      <c r="H118" t="s">
        <v>0</v>
      </c>
    </row>
    <row r="119" spans="1:8" x14ac:dyDescent="0.3">
      <c r="A119" t="s">
        <v>172</v>
      </c>
      <c r="B119" t="s">
        <v>169</v>
      </c>
      <c r="C119" t="s">
        <v>170</v>
      </c>
      <c r="E119">
        <v>98586</v>
      </c>
      <c r="F119">
        <v>74779</v>
      </c>
      <c r="G119" t="s">
        <v>167</v>
      </c>
      <c r="H119" t="s">
        <v>0</v>
      </c>
    </row>
    <row r="120" spans="1:8" x14ac:dyDescent="0.3">
      <c r="A120" t="s">
        <v>173</v>
      </c>
      <c r="B120" t="s">
        <v>174</v>
      </c>
      <c r="C120" t="s">
        <v>170</v>
      </c>
      <c r="E120">
        <v>173789</v>
      </c>
      <c r="F120">
        <v>138557</v>
      </c>
      <c r="G120" t="s">
        <v>175</v>
      </c>
      <c r="H120" t="s">
        <v>0</v>
      </c>
    </row>
    <row r="121" spans="1:8" x14ac:dyDescent="0.3">
      <c r="A121" t="s">
        <v>176</v>
      </c>
      <c r="B121" t="s">
        <v>174</v>
      </c>
      <c r="C121" t="s">
        <v>170</v>
      </c>
      <c r="E121">
        <v>92272</v>
      </c>
      <c r="F121">
        <v>77170</v>
      </c>
      <c r="G121" t="s">
        <v>175</v>
      </c>
      <c r="H121" t="s">
        <v>0</v>
      </c>
    </row>
    <row r="122" spans="1:8" x14ac:dyDescent="0.3">
      <c r="A122" t="s">
        <v>177</v>
      </c>
      <c r="B122" t="s">
        <v>178</v>
      </c>
      <c r="C122" t="s">
        <v>178</v>
      </c>
      <c r="E122">
        <v>135085</v>
      </c>
      <c r="F122">
        <v>102767</v>
      </c>
      <c r="G122" t="s">
        <v>19</v>
      </c>
      <c r="H122" t="s">
        <v>3</v>
      </c>
    </row>
    <row r="123" spans="1:8" x14ac:dyDescent="0.3">
      <c r="A123" t="s">
        <v>179</v>
      </c>
      <c r="B123" t="s">
        <v>178</v>
      </c>
      <c r="C123" t="s">
        <v>178</v>
      </c>
      <c r="E123">
        <v>317564</v>
      </c>
      <c r="F123">
        <v>249152</v>
      </c>
      <c r="G123" t="s">
        <v>32</v>
      </c>
      <c r="H123" t="s">
        <v>3</v>
      </c>
    </row>
    <row r="124" spans="1:8" x14ac:dyDescent="0.3">
      <c r="A124" t="s">
        <v>180</v>
      </c>
      <c r="B124" t="s">
        <v>178</v>
      </c>
      <c r="C124" t="s">
        <v>178</v>
      </c>
      <c r="E124">
        <v>305744</v>
      </c>
      <c r="F124">
        <v>220673</v>
      </c>
      <c r="G124" t="s">
        <v>32</v>
      </c>
      <c r="H124" t="s">
        <v>3</v>
      </c>
    </row>
    <row r="125" spans="1:8" x14ac:dyDescent="0.3">
      <c r="A125" t="s">
        <v>181</v>
      </c>
      <c r="B125" t="s">
        <v>178</v>
      </c>
      <c r="C125" t="s">
        <v>178</v>
      </c>
      <c r="E125">
        <v>140751</v>
      </c>
      <c r="F125">
        <v>111623</v>
      </c>
      <c r="G125" t="s">
        <v>22</v>
      </c>
      <c r="H125" t="s">
        <v>3</v>
      </c>
    </row>
    <row r="126" spans="1:8" x14ac:dyDescent="0.3">
      <c r="A126" t="s">
        <v>182</v>
      </c>
      <c r="B126" t="s">
        <v>178</v>
      </c>
      <c r="C126" t="s">
        <v>178</v>
      </c>
      <c r="E126">
        <v>240747</v>
      </c>
      <c r="F126">
        <v>174792</v>
      </c>
      <c r="G126" t="s">
        <v>22</v>
      </c>
      <c r="H126" t="s">
        <v>3</v>
      </c>
    </row>
    <row r="127" spans="1:8" x14ac:dyDescent="0.3">
      <c r="A127" t="s">
        <v>183</v>
      </c>
      <c r="B127" t="s">
        <v>178</v>
      </c>
      <c r="C127" t="s">
        <v>178</v>
      </c>
      <c r="E127">
        <v>261418</v>
      </c>
      <c r="F127">
        <v>199687</v>
      </c>
      <c r="G127" t="s">
        <v>107</v>
      </c>
      <c r="H127" t="s">
        <v>3</v>
      </c>
    </row>
    <row r="128" spans="1:8" x14ac:dyDescent="0.3">
      <c r="A128" t="s">
        <v>184</v>
      </c>
      <c r="B128" t="s">
        <v>178</v>
      </c>
      <c r="C128" t="s">
        <v>178</v>
      </c>
      <c r="D128" t="s">
        <v>185</v>
      </c>
      <c r="E128">
        <v>148460</v>
      </c>
      <c r="F128">
        <v>102771</v>
      </c>
      <c r="G128" t="s">
        <v>22</v>
      </c>
      <c r="H128" t="s">
        <v>3</v>
      </c>
    </row>
    <row r="129" spans="1:8" x14ac:dyDescent="0.3">
      <c r="A129" t="s">
        <v>186</v>
      </c>
      <c r="B129" t="s">
        <v>178</v>
      </c>
      <c r="C129" t="s">
        <v>178</v>
      </c>
      <c r="E129">
        <v>125970</v>
      </c>
      <c r="F129">
        <v>96346</v>
      </c>
      <c r="G129" t="s">
        <v>175</v>
      </c>
      <c r="H129" t="s">
        <v>3</v>
      </c>
    </row>
    <row r="130" spans="1:8" x14ac:dyDescent="0.3">
      <c r="A130" t="s">
        <v>187</v>
      </c>
      <c r="B130" t="s">
        <v>178</v>
      </c>
      <c r="C130" t="s">
        <v>178</v>
      </c>
      <c r="E130">
        <v>103908</v>
      </c>
      <c r="F130">
        <v>64685</v>
      </c>
      <c r="G130" t="s">
        <v>167</v>
      </c>
      <c r="H130" t="s">
        <v>3</v>
      </c>
    </row>
    <row r="131" spans="1:8" x14ac:dyDescent="0.3">
      <c r="A131" t="s">
        <v>188</v>
      </c>
      <c r="B131" t="s">
        <v>178</v>
      </c>
      <c r="C131" t="s">
        <v>178</v>
      </c>
      <c r="E131">
        <v>150798</v>
      </c>
      <c r="F131">
        <v>114014</v>
      </c>
      <c r="G131" t="s">
        <v>32</v>
      </c>
      <c r="H131" t="s">
        <v>3</v>
      </c>
    </row>
    <row r="132" spans="1:8" x14ac:dyDescent="0.3">
      <c r="A132" t="s">
        <v>189</v>
      </c>
      <c r="B132" t="s">
        <v>178</v>
      </c>
      <c r="C132" t="s">
        <v>178</v>
      </c>
      <c r="D132" t="s">
        <v>190</v>
      </c>
      <c r="E132">
        <v>168065</v>
      </c>
      <c r="F132">
        <v>129033</v>
      </c>
      <c r="G132" t="s">
        <v>133</v>
      </c>
      <c r="H132" t="s">
        <v>3</v>
      </c>
    </row>
    <row r="133" spans="1:8" x14ac:dyDescent="0.3">
      <c r="A133" t="s">
        <v>191</v>
      </c>
      <c r="B133" t="s">
        <v>178</v>
      </c>
      <c r="C133" t="s">
        <v>178</v>
      </c>
      <c r="E133">
        <v>59734</v>
      </c>
      <c r="F133">
        <v>41672</v>
      </c>
      <c r="G133" t="s">
        <v>27</v>
      </c>
      <c r="H133" t="s">
        <v>3</v>
      </c>
    </row>
    <row r="134" spans="1:8" x14ac:dyDescent="0.3">
      <c r="A134" t="s">
        <v>192</v>
      </c>
      <c r="B134" t="s">
        <v>193</v>
      </c>
      <c r="C134" t="s">
        <v>193</v>
      </c>
      <c r="D134" t="s">
        <v>194</v>
      </c>
      <c r="E134">
        <v>79208</v>
      </c>
      <c r="F134">
        <v>60121</v>
      </c>
      <c r="G134" t="s">
        <v>16</v>
      </c>
      <c r="H134" t="s">
        <v>3</v>
      </c>
    </row>
    <row r="135" spans="1:8" x14ac:dyDescent="0.3">
      <c r="A135" t="s">
        <v>195</v>
      </c>
      <c r="B135" t="s">
        <v>193</v>
      </c>
      <c r="C135" t="s">
        <v>193</v>
      </c>
      <c r="D135" t="s">
        <v>194</v>
      </c>
      <c r="E135">
        <v>82374</v>
      </c>
      <c r="F135">
        <v>58076</v>
      </c>
      <c r="G135" t="s">
        <v>22</v>
      </c>
      <c r="H135" t="s">
        <v>3</v>
      </c>
    </row>
    <row r="136" spans="1:8" x14ac:dyDescent="0.3">
      <c r="A136" t="s">
        <v>196</v>
      </c>
      <c r="B136" t="s">
        <v>193</v>
      </c>
      <c r="C136" t="s">
        <v>193</v>
      </c>
      <c r="D136" t="s">
        <v>194</v>
      </c>
      <c r="E136">
        <v>206428</v>
      </c>
      <c r="F136">
        <v>159563</v>
      </c>
      <c r="G136" t="s">
        <v>22</v>
      </c>
      <c r="H136" t="s">
        <v>3</v>
      </c>
    </row>
    <row r="137" spans="1:8" x14ac:dyDescent="0.3">
      <c r="A137" t="s">
        <v>197</v>
      </c>
      <c r="B137" t="s">
        <v>193</v>
      </c>
      <c r="C137" t="s">
        <v>193</v>
      </c>
      <c r="E137">
        <v>132839</v>
      </c>
      <c r="F137">
        <v>84800</v>
      </c>
      <c r="G137" t="s">
        <v>22</v>
      </c>
      <c r="H137" t="s">
        <v>3</v>
      </c>
    </row>
    <row r="138" spans="1:8" x14ac:dyDescent="0.3">
      <c r="A138" t="s">
        <v>198</v>
      </c>
      <c r="B138" t="s">
        <v>193</v>
      </c>
      <c r="C138" t="s">
        <v>193</v>
      </c>
      <c r="E138">
        <v>126150</v>
      </c>
      <c r="F138">
        <v>97870</v>
      </c>
      <c r="G138" t="s">
        <v>32</v>
      </c>
      <c r="H138" t="s">
        <v>3</v>
      </c>
    </row>
    <row r="139" spans="1:8" x14ac:dyDescent="0.3">
      <c r="A139" t="s">
        <v>199</v>
      </c>
      <c r="B139" t="s">
        <v>193</v>
      </c>
      <c r="C139" t="s">
        <v>193</v>
      </c>
      <c r="E139">
        <v>182047</v>
      </c>
      <c r="F139">
        <v>113903</v>
      </c>
      <c r="G139" t="s">
        <v>16</v>
      </c>
      <c r="H139" t="s">
        <v>3</v>
      </c>
    </row>
    <row r="140" spans="1:8" x14ac:dyDescent="0.3">
      <c r="A140" t="s">
        <v>200</v>
      </c>
      <c r="B140" t="s">
        <v>193</v>
      </c>
      <c r="C140" t="s">
        <v>193</v>
      </c>
      <c r="E140">
        <v>178695</v>
      </c>
      <c r="F140">
        <v>133458</v>
      </c>
      <c r="G140" t="s">
        <v>32</v>
      </c>
      <c r="H140" t="s">
        <v>3</v>
      </c>
    </row>
    <row r="141" spans="1:8" x14ac:dyDescent="0.3">
      <c r="A141" t="s">
        <v>201</v>
      </c>
      <c r="B141" t="s">
        <v>193</v>
      </c>
      <c r="C141" t="s">
        <v>193</v>
      </c>
      <c r="E141">
        <v>204657</v>
      </c>
      <c r="F141">
        <v>148391</v>
      </c>
      <c r="G141" t="s">
        <v>25</v>
      </c>
      <c r="H141" t="s">
        <v>3</v>
      </c>
    </row>
    <row r="142" spans="1:8" x14ac:dyDescent="0.3">
      <c r="A142" t="s">
        <v>202</v>
      </c>
      <c r="B142" t="s">
        <v>193</v>
      </c>
      <c r="C142" t="s">
        <v>193</v>
      </c>
      <c r="E142">
        <v>130148</v>
      </c>
      <c r="F142">
        <v>99101</v>
      </c>
      <c r="G142" t="s">
        <v>22</v>
      </c>
      <c r="H142" t="s">
        <v>3</v>
      </c>
    </row>
    <row r="143" spans="1:8" x14ac:dyDescent="0.3">
      <c r="A143" t="s">
        <v>203</v>
      </c>
      <c r="B143" t="s">
        <v>193</v>
      </c>
      <c r="C143" t="s">
        <v>193</v>
      </c>
      <c r="E143">
        <v>105757</v>
      </c>
      <c r="F143">
        <v>79675</v>
      </c>
      <c r="G143" t="s">
        <v>107</v>
      </c>
      <c r="H143" t="s">
        <v>3</v>
      </c>
    </row>
    <row r="144" spans="1:8" x14ac:dyDescent="0.3">
      <c r="A144" t="s">
        <v>204</v>
      </c>
      <c r="B144" t="s">
        <v>193</v>
      </c>
      <c r="C144" t="s">
        <v>193</v>
      </c>
      <c r="E144">
        <v>84155</v>
      </c>
      <c r="F144">
        <v>63264</v>
      </c>
      <c r="G144" t="s">
        <v>107</v>
      </c>
      <c r="H144" t="s">
        <v>3</v>
      </c>
    </row>
    <row r="145" spans="1:8" x14ac:dyDescent="0.3">
      <c r="A145" t="s">
        <v>205</v>
      </c>
      <c r="B145" t="s">
        <v>193</v>
      </c>
      <c r="C145" t="s">
        <v>193</v>
      </c>
      <c r="D145" t="s">
        <v>206</v>
      </c>
      <c r="E145">
        <v>96232</v>
      </c>
      <c r="F145">
        <v>72544</v>
      </c>
      <c r="G145" t="s">
        <v>22</v>
      </c>
      <c r="H145" t="s">
        <v>3</v>
      </c>
    </row>
    <row r="146" spans="1:8" x14ac:dyDescent="0.3">
      <c r="A146" t="s">
        <v>207</v>
      </c>
      <c r="B146" t="s">
        <v>193</v>
      </c>
      <c r="C146" t="s">
        <v>193</v>
      </c>
      <c r="D146" t="s">
        <v>206</v>
      </c>
      <c r="E146">
        <v>88131</v>
      </c>
      <c r="F146">
        <v>65661</v>
      </c>
      <c r="G146" t="s">
        <v>22</v>
      </c>
      <c r="H146" t="s">
        <v>3</v>
      </c>
    </row>
    <row r="147" spans="1:8" x14ac:dyDescent="0.3">
      <c r="A147" t="s">
        <v>208</v>
      </c>
      <c r="B147" t="s">
        <v>193</v>
      </c>
      <c r="C147" t="s">
        <v>193</v>
      </c>
      <c r="D147" t="s">
        <v>206</v>
      </c>
      <c r="E147">
        <v>106161</v>
      </c>
      <c r="F147">
        <v>82346</v>
      </c>
      <c r="G147" t="s">
        <v>25</v>
      </c>
      <c r="H147" t="s">
        <v>3</v>
      </c>
    </row>
    <row r="148" spans="1:8" x14ac:dyDescent="0.3">
      <c r="A148" t="s">
        <v>209</v>
      </c>
      <c r="B148" t="s">
        <v>193</v>
      </c>
      <c r="C148" t="s">
        <v>193</v>
      </c>
      <c r="E148">
        <v>78170</v>
      </c>
      <c r="F148">
        <v>53421</v>
      </c>
      <c r="G148" t="s">
        <v>107</v>
      </c>
      <c r="H148" t="s">
        <v>3</v>
      </c>
    </row>
    <row r="149" spans="1:8" x14ac:dyDescent="0.3">
      <c r="A149" t="s">
        <v>210</v>
      </c>
      <c r="B149" t="s">
        <v>193</v>
      </c>
      <c r="C149" t="s">
        <v>193</v>
      </c>
      <c r="E149">
        <v>98790</v>
      </c>
      <c r="F149">
        <v>77862</v>
      </c>
      <c r="G149" t="s">
        <v>22</v>
      </c>
      <c r="H149" t="s">
        <v>3</v>
      </c>
    </row>
    <row r="150" spans="1:8" x14ac:dyDescent="0.3">
      <c r="A150" t="s">
        <v>211</v>
      </c>
      <c r="B150" t="s">
        <v>193</v>
      </c>
      <c r="C150" t="s">
        <v>193</v>
      </c>
      <c r="E150">
        <v>44264</v>
      </c>
      <c r="F150">
        <v>31708</v>
      </c>
      <c r="G150" t="s">
        <v>22</v>
      </c>
      <c r="H150" t="s">
        <v>3</v>
      </c>
    </row>
    <row r="151" spans="1:8" x14ac:dyDescent="0.3">
      <c r="A151" t="s">
        <v>212</v>
      </c>
      <c r="B151" t="s">
        <v>193</v>
      </c>
      <c r="C151" t="s">
        <v>193</v>
      </c>
      <c r="E151">
        <v>66094</v>
      </c>
      <c r="F151">
        <v>48853</v>
      </c>
      <c r="G151" t="s">
        <v>35</v>
      </c>
      <c r="H151" t="s">
        <v>3</v>
      </c>
    </row>
    <row r="152" spans="1:8" x14ac:dyDescent="0.3">
      <c r="A152" t="s">
        <v>213</v>
      </c>
      <c r="B152" t="s">
        <v>214</v>
      </c>
      <c r="C152" t="s">
        <v>214</v>
      </c>
      <c r="D152" t="s">
        <v>215</v>
      </c>
      <c r="E152">
        <v>346102</v>
      </c>
      <c r="F152">
        <v>241302</v>
      </c>
      <c r="G152" t="s">
        <v>32</v>
      </c>
      <c r="H152" t="s">
        <v>3</v>
      </c>
    </row>
    <row r="153" spans="1:8" x14ac:dyDescent="0.3">
      <c r="A153" t="s">
        <v>216</v>
      </c>
      <c r="B153" t="s">
        <v>214</v>
      </c>
      <c r="C153" t="s">
        <v>214</v>
      </c>
      <c r="E153">
        <v>147763</v>
      </c>
      <c r="F153">
        <v>104825</v>
      </c>
      <c r="G153" t="s">
        <v>107</v>
      </c>
      <c r="H153" t="s">
        <v>3</v>
      </c>
    </row>
    <row r="154" spans="1:8" x14ac:dyDescent="0.3">
      <c r="A154" t="s">
        <v>217</v>
      </c>
      <c r="B154" t="s">
        <v>214</v>
      </c>
      <c r="C154" t="s">
        <v>214</v>
      </c>
      <c r="E154">
        <v>103495</v>
      </c>
      <c r="F154">
        <v>74919</v>
      </c>
      <c r="G154" t="s">
        <v>167</v>
      </c>
      <c r="H154" t="s">
        <v>3</v>
      </c>
    </row>
    <row r="155" spans="1:8" x14ac:dyDescent="0.3">
      <c r="A155" t="s">
        <v>218</v>
      </c>
      <c r="B155" t="s">
        <v>214</v>
      </c>
      <c r="C155" t="s">
        <v>214</v>
      </c>
      <c r="E155">
        <v>89223</v>
      </c>
      <c r="F155">
        <v>64004</v>
      </c>
      <c r="G155" t="s">
        <v>167</v>
      </c>
      <c r="H155" t="s">
        <v>3</v>
      </c>
    </row>
    <row r="156" spans="1:8" x14ac:dyDescent="0.3">
      <c r="A156" t="s">
        <v>219</v>
      </c>
      <c r="B156" t="s">
        <v>214</v>
      </c>
      <c r="C156" t="s">
        <v>214</v>
      </c>
      <c r="E156">
        <v>76659</v>
      </c>
      <c r="F156">
        <v>57184</v>
      </c>
      <c r="G156" t="s">
        <v>107</v>
      </c>
      <c r="H156" t="s">
        <v>3</v>
      </c>
    </row>
    <row r="157" spans="1:8" x14ac:dyDescent="0.3">
      <c r="A157" t="s">
        <v>220</v>
      </c>
      <c r="B157" t="s">
        <v>214</v>
      </c>
      <c r="C157" t="s">
        <v>214</v>
      </c>
      <c r="D157" t="s">
        <v>221</v>
      </c>
      <c r="E157">
        <v>82550</v>
      </c>
      <c r="F157">
        <v>59665</v>
      </c>
      <c r="G157" t="s">
        <v>32</v>
      </c>
      <c r="H157" t="s">
        <v>3</v>
      </c>
    </row>
    <row r="158" spans="1:8" x14ac:dyDescent="0.3">
      <c r="A158" t="s">
        <v>222</v>
      </c>
      <c r="B158" t="s">
        <v>223</v>
      </c>
      <c r="C158" t="s">
        <v>223</v>
      </c>
      <c r="D158" t="s">
        <v>224</v>
      </c>
      <c r="E158">
        <v>226703</v>
      </c>
      <c r="F158">
        <v>160481</v>
      </c>
      <c r="G158" t="s">
        <v>16</v>
      </c>
      <c r="H158" t="s">
        <v>3</v>
      </c>
    </row>
    <row r="159" spans="1:8" x14ac:dyDescent="0.3">
      <c r="A159" t="s">
        <v>225</v>
      </c>
      <c r="B159" t="s">
        <v>223</v>
      </c>
      <c r="C159" t="s">
        <v>223</v>
      </c>
      <c r="E159">
        <v>97558</v>
      </c>
      <c r="F159">
        <v>77444</v>
      </c>
      <c r="G159" t="s">
        <v>133</v>
      </c>
      <c r="H159" t="s">
        <v>3</v>
      </c>
    </row>
    <row r="160" spans="1:8" x14ac:dyDescent="0.3">
      <c r="A160" t="s">
        <v>226</v>
      </c>
      <c r="B160" t="s">
        <v>223</v>
      </c>
      <c r="C160" t="s">
        <v>223</v>
      </c>
      <c r="E160">
        <v>75435</v>
      </c>
      <c r="F160">
        <v>55802</v>
      </c>
      <c r="G160" t="s">
        <v>107</v>
      </c>
      <c r="H160" t="s">
        <v>3</v>
      </c>
    </row>
    <row r="161" spans="1:8" x14ac:dyDescent="0.3">
      <c r="A161" t="s">
        <v>227</v>
      </c>
      <c r="B161" t="s">
        <v>223</v>
      </c>
      <c r="C161" t="s">
        <v>223</v>
      </c>
      <c r="E161">
        <v>95946</v>
      </c>
      <c r="F161">
        <v>71901</v>
      </c>
      <c r="G161" t="s">
        <v>32</v>
      </c>
      <c r="H161" t="s">
        <v>3</v>
      </c>
    </row>
    <row r="162" spans="1:8" x14ac:dyDescent="0.3">
      <c r="A162" t="s">
        <v>228</v>
      </c>
      <c r="B162" t="s">
        <v>223</v>
      </c>
      <c r="C162" t="s">
        <v>223</v>
      </c>
      <c r="E162">
        <v>48640</v>
      </c>
      <c r="F162">
        <v>34807</v>
      </c>
      <c r="G162" t="s">
        <v>22</v>
      </c>
      <c r="H162" t="s">
        <v>3</v>
      </c>
    </row>
    <row r="163" spans="1:8" x14ac:dyDescent="0.3">
      <c r="A163" t="s">
        <v>229</v>
      </c>
      <c r="B163" t="s">
        <v>223</v>
      </c>
      <c r="C163" t="s">
        <v>223</v>
      </c>
      <c r="D163" t="s">
        <v>224</v>
      </c>
      <c r="E163">
        <v>102063</v>
      </c>
      <c r="F163">
        <v>80763</v>
      </c>
      <c r="G163" t="s">
        <v>107</v>
      </c>
      <c r="H163" t="s">
        <v>3</v>
      </c>
    </row>
    <row r="164" spans="1:8" x14ac:dyDescent="0.3">
      <c r="A164" t="s">
        <v>230</v>
      </c>
      <c r="B164" t="s">
        <v>223</v>
      </c>
      <c r="C164" t="s">
        <v>223</v>
      </c>
      <c r="E164">
        <v>117516</v>
      </c>
      <c r="F164">
        <v>87627</v>
      </c>
      <c r="G164" t="s">
        <v>107</v>
      </c>
      <c r="H164" t="s">
        <v>3</v>
      </c>
    </row>
    <row r="165" spans="1:8" x14ac:dyDescent="0.3">
      <c r="A165" t="s">
        <v>231</v>
      </c>
      <c r="B165" t="s">
        <v>223</v>
      </c>
      <c r="C165" t="s">
        <v>223</v>
      </c>
      <c r="E165">
        <v>125126</v>
      </c>
      <c r="F165">
        <v>94953</v>
      </c>
      <c r="G165" t="s">
        <v>107</v>
      </c>
      <c r="H165" t="s">
        <v>3</v>
      </c>
    </row>
    <row r="166" spans="1:8" x14ac:dyDescent="0.3">
      <c r="A166" t="s">
        <v>232</v>
      </c>
      <c r="B166" t="s">
        <v>223</v>
      </c>
      <c r="C166" t="s">
        <v>223</v>
      </c>
      <c r="D166" t="s">
        <v>221</v>
      </c>
      <c r="E166">
        <v>93634</v>
      </c>
      <c r="F166">
        <v>66495</v>
      </c>
      <c r="G166" t="s">
        <v>32</v>
      </c>
      <c r="H166" t="s">
        <v>3</v>
      </c>
    </row>
    <row r="167" spans="1:8" x14ac:dyDescent="0.3">
      <c r="A167" t="s">
        <v>233</v>
      </c>
      <c r="B167" t="s">
        <v>223</v>
      </c>
      <c r="C167" t="s">
        <v>223</v>
      </c>
      <c r="E167">
        <v>35596</v>
      </c>
      <c r="F167">
        <v>28099</v>
      </c>
      <c r="G167" t="s">
        <v>133</v>
      </c>
      <c r="H167" t="s">
        <v>3</v>
      </c>
    </row>
    <row r="168" spans="1:8" x14ac:dyDescent="0.3">
      <c r="A168" t="s">
        <v>234</v>
      </c>
      <c r="B168" t="s">
        <v>223</v>
      </c>
      <c r="C168" t="s">
        <v>223</v>
      </c>
      <c r="E168">
        <v>140965</v>
      </c>
      <c r="F168">
        <v>108840</v>
      </c>
      <c r="G168" t="s">
        <v>32</v>
      </c>
      <c r="H168" t="s">
        <v>3</v>
      </c>
    </row>
    <row r="169" spans="1:8" x14ac:dyDescent="0.3">
      <c r="A169" t="s">
        <v>235</v>
      </c>
      <c r="B169" t="s">
        <v>223</v>
      </c>
      <c r="C169" t="s">
        <v>223</v>
      </c>
      <c r="E169">
        <v>153345</v>
      </c>
      <c r="F169">
        <v>112139</v>
      </c>
      <c r="G169" t="s">
        <v>16</v>
      </c>
      <c r="H169" t="s">
        <v>3</v>
      </c>
    </row>
    <row r="170" spans="1:8" x14ac:dyDescent="0.3">
      <c r="A170" t="s">
        <v>236</v>
      </c>
      <c r="B170" t="s">
        <v>237</v>
      </c>
      <c r="C170" t="s">
        <v>238</v>
      </c>
      <c r="E170">
        <v>144958</v>
      </c>
      <c r="F170">
        <v>109578</v>
      </c>
      <c r="G170" t="s">
        <v>27</v>
      </c>
      <c r="H170" t="s">
        <v>3</v>
      </c>
    </row>
    <row r="171" spans="1:8" x14ac:dyDescent="0.3">
      <c r="A171" t="s">
        <v>239</v>
      </c>
      <c r="B171" t="s">
        <v>237</v>
      </c>
      <c r="C171" t="s">
        <v>238</v>
      </c>
      <c r="E171">
        <v>143856</v>
      </c>
      <c r="F171">
        <v>104967</v>
      </c>
      <c r="G171" t="s">
        <v>16</v>
      </c>
      <c r="H171" t="s">
        <v>3</v>
      </c>
    </row>
    <row r="172" spans="1:8" x14ac:dyDescent="0.3">
      <c r="A172" t="s">
        <v>240</v>
      </c>
      <c r="B172" t="s">
        <v>237</v>
      </c>
      <c r="C172" t="s">
        <v>238</v>
      </c>
      <c r="E172">
        <v>242992</v>
      </c>
      <c r="F172">
        <v>185842</v>
      </c>
      <c r="G172" t="s">
        <v>22</v>
      </c>
      <c r="H172" t="s">
        <v>3</v>
      </c>
    </row>
    <row r="173" spans="1:8" x14ac:dyDescent="0.3">
      <c r="A173" t="s">
        <v>241</v>
      </c>
      <c r="B173" t="s">
        <v>237</v>
      </c>
      <c r="C173" t="s">
        <v>238</v>
      </c>
      <c r="E173">
        <v>99711</v>
      </c>
      <c r="F173">
        <v>67092</v>
      </c>
      <c r="G173" t="s">
        <v>133</v>
      </c>
      <c r="H173" t="s">
        <v>3</v>
      </c>
    </row>
    <row r="174" spans="1:8" x14ac:dyDescent="0.3">
      <c r="A174" t="s">
        <v>242</v>
      </c>
      <c r="B174" t="s">
        <v>237</v>
      </c>
      <c r="C174" t="s">
        <v>238</v>
      </c>
      <c r="E174">
        <v>96898</v>
      </c>
      <c r="F174">
        <v>74364</v>
      </c>
      <c r="G174" t="s">
        <v>133</v>
      </c>
      <c r="H174" t="s">
        <v>3</v>
      </c>
    </row>
    <row r="175" spans="1:8" x14ac:dyDescent="0.3">
      <c r="A175" t="s">
        <v>243</v>
      </c>
      <c r="B175" t="s">
        <v>237</v>
      </c>
      <c r="C175" t="s">
        <v>238</v>
      </c>
      <c r="E175">
        <v>120291</v>
      </c>
      <c r="F175">
        <v>87359</v>
      </c>
      <c r="G175" t="s">
        <v>22</v>
      </c>
      <c r="H175" t="s">
        <v>3</v>
      </c>
    </row>
    <row r="176" spans="1:8" x14ac:dyDescent="0.3">
      <c r="A176" t="s">
        <v>244</v>
      </c>
      <c r="B176" t="s">
        <v>237</v>
      </c>
      <c r="C176" t="s">
        <v>238</v>
      </c>
      <c r="E176">
        <v>150002</v>
      </c>
      <c r="F176">
        <v>118628</v>
      </c>
      <c r="G176" t="s">
        <v>32</v>
      </c>
      <c r="H176" t="s">
        <v>3</v>
      </c>
    </row>
    <row r="177" spans="1:8" x14ac:dyDescent="0.3">
      <c r="A177" t="s">
        <v>245</v>
      </c>
      <c r="B177" t="s">
        <v>237</v>
      </c>
      <c r="C177" t="s">
        <v>238</v>
      </c>
      <c r="E177">
        <v>134359</v>
      </c>
      <c r="F177">
        <v>106169</v>
      </c>
      <c r="G177" t="s">
        <v>32</v>
      </c>
      <c r="H177" t="s">
        <v>3</v>
      </c>
    </row>
    <row r="178" spans="1:8" x14ac:dyDescent="0.3">
      <c r="A178" t="s">
        <v>246</v>
      </c>
      <c r="B178" t="s">
        <v>237</v>
      </c>
      <c r="C178" t="s">
        <v>238</v>
      </c>
      <c r="E178">
        <v>120180</v>
      </c>
      <c r="F178">
        <v>93001</v>
      </c>
      <c r="G178" t="s">
        <v>22</v>
      </c>
      <c r="H178" t="s">
        <v>3</v>
      </c>
    </row>
    <row r="179" spans="1:8" x14ac:dyDescent="0.3">
      <c r="A179" t="s">
        <v>247</v>
      </c>
      <c r="B179" t="s">
        <v>237</v>
      </c>
      <c r="C179" t="s">
        <v>248</v>
      </c>
      <c r="E179">
        <v>77989</v>
      </c>
      <c r="F179">
        <v>57697</v>
      </c>
      <c r="G179" t="s">
        <v>22</v>
      </c>
      <c r="H179" t="s">
        <v>3</v>
      </c>
    </row>
    <row r="180" spans="1:8" x14ac:dyDescent="0.3">
      <c r="A180" t="s">
        <v>249</v>
      </c>
      <c r="B180" t="s">
        <v>237</v>
      </c>
      <c r="C180" t="s">
        <v>248</v>
      </c>
      <c r="E180">
        <v>91403</v>
      </c>
      <c r="F180">
        <v>65541</v>
      </c>
      <c r="G180" t="s">
        <v>35</v>
      </c>
      <c r="H180" t="s">
        <v>3</v>
      </c>
    </row>
    <row r="181" spans="1:8" x14ac:dyDescent="0.3">
      <c r="A181" t="s">
        <v>250</v>
      </c>
      <c r="B181" t="s">
        <v>237</v>
      </c>
      <c r="C181" t="s">
        <v>248</v>
      </c>
      <c r="E181">
        <v>119374</v>
      </c>
      <c r="F181">
        <v>90362</v>
      </c>
      <c r="G181" t="s">
        <v>107</v>
      </c>
      <c r="H181" t="s">
        <v>3</v>
      </c>
    </row>
    <row r="182" spans="1:8" x14ac:dyDescent="0.3">
      <c r="A182" t="s">
        <v>251</v>
      </c>
      <c r="B182" t="s">
        <v>237</v>
      </c>
      <c r="C182" t="s">
        <v>248</v>
      </c>
      <c r="E182">
        <v>122711</v>
      </c>
      <c r="F182">
        <v>89968</v>
      </c>
      <c r="G182" t="s">
        <v>167</v>
      </c>
      <c r="H182" t="s">
        <v>3</v>
      </c>
    </row>
    <row r="183" spans="1:8" x14ac:dyDescent="0.3">
      <c r="A183" t="s">
        <v>252</v>
      </c>
      <c r="B183" t="s">
        <v>237</v>
      </c>
      <c r="C183" t="s">
        <v>248</v>
      </c>
      <c r="E183">
        <v>117117</v>
      </c>
      <c r="F183">
        <v>84687</v>
      </c>
      <c r="G183" t="s">
        <v>175</v>
      </c>
      <c r="H183" t="s">
        <v>3</v>
      </c>
    </row>
    <row r="184" spans="1:8" x14ac:dyDescent="0.3">
      <c r="A184" t="s">
        <v>253</v>
      </c>
      <c r="B184" t="s">
        <v>237</v>
      </c>
      <c r="C184" t="s">
        <v>248</v>
      </c>
      <c r="E184">
        <v>136635</v>
      </c>
      <c r="F184">
        <v>104396</v>
      </c>
      <c r="G184" t="s">
        <v>133</v>
      </c>
      <c r="H184" t="s">
        <v>3</v>
      </c>
    </row>
    <row r="185" spans="1:8" x14ac:dyDescent="0.3">
      <c r="A185" t="s">
        <v>254</v>
      </c>
      <c r="B185" t="s">
        <v>237</v>
      </c>
      <c r="C185" t="s">
        <v>248</v>
      </c>
      <c r="E185">
        <v>128907</v>
      </c>
      <c r="F185">
        <v>90474</v>
      </c>
      <c r="G185" t="s">
        <v>25</v>
      </c>
      <c r="H185" t="s">
        <v>3</v>
      </c>
    </row>
    <row r="186" spans="1:8" x14ac:dyDescent="0.3">
      <c r="A186" t="s">
        <v>255</v>
      </c>
      <c r="B186" t="s">
        <v>237</v>
      </c>
      <c r="C186" t="s">
        <v>248</v>
      </c>
      <c r="E186">
        <v>115333</v>
      </c>
      <c r="F186">
        <v>85110</v>
      </c>
      <c r="G186" t="s">
        <v>133</v>
      </c>
      <c r="H186" t="s">
        <v>3</v>
      </c>
    </row>
    <row r="187" spans="1:8" x14ac:dyDescent="0.3">
      <c r="A187" t="s">
        <v>256</v>
      </c>
      <c r="B187" t="s">
        <v>237</v>
      </c>
      <c r="C187" t="s">
        <v>248</v>
      </c>
      <c r="E187">
        <v>140112</v>
      </c>
      <c r="F187">
        <v>106639</v>
      </c>
      <c r="G187" t="s">
        <v>32</v>
      </c>
      <c r="H187" t="s">
        <v>3</v>
      </c>
    </row>
    <row r="188" spans="1:8" x14ac:dyDescent="0.3">
      <c r="A188" t="s">
        <v>257</v>
      </c>
      <c r="B188" t="s">
        <v>237</v>
      </c>
      <c r="C188" t="s">
        <v>248</v>
      </c>
      <c r="E188">
        <v>98474</v>
      </c>
      <c r="F188">
        <v>67982</v>
      </c>
      <c r="G188" t="s">
        <v>258</v>
      </c>
      <c r="H188" t="s">
        <v>3</v>
      </c>
    </row>
    <row r="189" spans="1:8" x14ac:dyDescent="0.3">
      <c r="A189" t="s">
        <v>259</v>
      </c>
      <c r="B189" t="s">
        <v>237</v>
      </c>
      <c r="C189" t="s">
        <v>248</v>
      </c>
      <c r="E189">
        <v>63806</v>
      </c>
      <c r="F189">
        <v>44635</v>
      </c>
      <c r="G189" t="s">
        <v>258</v>
      </c>
      <c r="H189" t="s">
        <v>3</v>
      </c>
    </row>
    <row r="190" spans="1:8" x14ac:dyDescent="0.3">
      <c r="A190" t="s">
        <v>260</v>
      </c>
      <c r="B190" t="s">
        <v>237</v>
      </c>
      <c r="C190" t="s">
        <v>248</v>
      </c>
      <c r="E190">
        <v>73091</v>
      </c>
      <c r="F190">
        <v>56434</v>
      </c>
      <c r="G190" t="s">
        <v>32</v>
      </c>
      <c r="H190" t="s">
        <v>3</v>
      </c>
    </row>
    <row r="191" spans="1:8" x14ac:dyDescent="0.3">
      <c r="A191" t="s">
        <v>261</v>
      </c>
      <c r="B191" t="s">
        <v>262</v>
      </c>
      <c r="C191" t="s">
        <v>263</v>
      </c>
      <c r="E191">
        <v>80883</v>
      </c>
      <c r="F191">
        <v>59569</v>
      </c>
      <c r="G191" t="s">
        <v>107</v>
      </c>
      <c r="H191" t="s">
        <v>3</v>
      </c>
    </row>
    <row r="192" spans="1:8" x14ac:dyDescent="0.3">
      <c r="A192" t="s">
        <v>264</v>
      </c>
      <c r="B192" t="s">
        <v>262</v>
      </c>
      <c r="C192" t="s">
        <v>263</v>
      </c>
      <c r="E192">
        <v>71367</v>
      </c>
      <c r="F192">
        <v>55502</v>
      </c>
      <c r="G192" t="s">
        <v>107</v>
      </c>
      <c r="H192" t="s">
        <v>3</v>
      </c>
    </row>
    <row r="193" spans="1:8" x14ac:dyDescent="0.3">
      <c r="A193" t="s">
        <v>265</v>
      </c>
      <c r="B193" t="s">
        <v>262</v>
      </c>
      <c r="C193" t="s">
        <v>263</v>
      </c>
      <c r="E193">
        <v>93677</v>
      </c>
      <c r="F193">
        <v>72495</v>
      </c>
      <c r="G193" t="s">
        <v>167</v>
      </c>
      <c r="H193" t="s">
        <v>3</v>
      </c>
    </row>
    <row r="194" spans="1:8" x14ac:dyDescent="0.3">
      <c r="A194" t="s">
        <v>266</v>
      </c>
      <c r="B194" t="s">
        <v>262</v>
      </c>
      <c r="C194" t="s">
        <v>263</v>
      </c>
      <c r="E194">
        <v>82561</v>
      </c>
      <c r="F194">
        <v>63479</v>
      </c>
      <c r="G194" t="s">
        <v>175</v>
      </c>
      <c r="H194" t="s">
        <v>3</v>
      </c>
    </row>
    <row r="195" spans="1:8" x14ac:dyDescent="0.3">
      <c r="A195" t="s">
        <v>267</v>
      </c>
      <c r="B195" t="s">
        <v>268</v>
      </c>
      <c r="C195" t="s">
        <v>269</v>
      </c>
      <c r="E195">
        <v>33815</v>
      </c>
      <c r="F195">
        <v>27533</v>
      </c>
      <c r="G195" t="s">
        <v>175</v>
      </c>
      <c r="H195" t="s">
        <v>3</v>
      </c>
    </row>
    <row r="196" spans="1:8" x14ac:dyDescent="0.3">
      <c r="A196" t="s">
        <v>270</v>
      </c>
      <c r="B196" t="s">
        <v>271</v>
      </c>
      <c r="C196" t="s">
        <v>269</v>
      </c>
      <c r="E196">
        <v>95562</v>
      </c>
      <c r="F196">
        <v>63611</v>
      </c>
      <c r="G196" t="s">
        <v>16</v>
      </c>
      <c r="H196" t="s">
        <v>3</v>
      </c>
    </row>
    <row r="197" spans="1:8" x14ac:dyDescent="0.3">
      <c r="A197" t="s">
        <v>272</v>
      </c>
      <c r="B197" t="s">
        <v>271</v>
      </c>
      <c r="C197" t="s">
        <v>269</v>
      </c>
      <c r="E197">
        <v>94203</v>
      </c>
      <c r="F197">
        <v>70757</v>
      </c>
      <c r="G197" t="s">
        <v>22</v>
      </c>
      <c r="H197" t="s">
        <v>3</v>
      </c>
    </row>
    <row r="198" spans="1:8" x14ac:dyDescent="0.3">
      <c r="A198" t="s">
        <v>273</v>
      </c>
      <c r="B198" t="s">
        <v>271</v>
      </c>
      <c r="C198" t="s">
        <v>269</v>
      </c>
      <c r="E198">
        <v>112993</v>
      </c>
      <c r="F198">
        <v>80692</v>
      </c>
      <c r="G198" t="s">
        <v>25</v>
      </c>
      <c r="H198" t="s">
        <v>3</v>
      </c>
    </row>
    <row r="199" spans="1:8" x14ac:dyDescent="0.3">
      <c r="A199" t="s">
        <v>274</v>
      </c>
      <c r="B199" t="s">
        <v>271</v>
      </c>
      <c r="C199" t="s">
        <v>269</v>
      </c>
      <c r="E199">
        <v>140774</v>
      </c>
      <c r="F199">
        <v>106290</v>
      </c>
      <c r="G199" t="s">
        <v>25</v>
      </c>
      <c r="H199" t="s">
        <v>3</v>
      </c>
    </row>
    <row r="200" spans="1:8" x14ac:dyDescent="0.3">
      <c r="A200" t="s">
        <v>275</v>
      </c>
      <c r="B200" t="s">
        <v>271</v>
      </c>
      <c r="C200" t="s">
        <v>269</v>
      </c>
      <c r="E200">
        <v>149751</v>
      </c>
      <c r="F200">
        <v>99447</v>
      </c>
      <c r="G200" t="s">
        <v>35</v>
      </c>
      <c r="H200" t="s">
        <v>3</v>
      </c>
    </row>
    <row r="201" spans="1:8" x14ac:dyDescent="0.3">
      <c r="A201" t="s">
        <v>276</v>
      </c>
      <c r="B201" t="s">
        <v>271</v>
      </c>
      <c r="C201" t="s">
        <v>269</v>
      </c>
      <c r="E201">
        <v>104745</v>
      </c>
      <c r="F201">
        <v>68559</v>
      </c>
      <c r="G201" t="s">
        <v>107</v>
      </c>
      <c r="H201" t="s">
        <v>3</v>
      </c>
    </row>
    <row r="202" spans="1:8" x14ac:dyDescent="0.3">
      <c r="A202" t="s">
        <v>277</v>
      </c>
      <c r="B202" t="s">
        <v>271</v>
      </c>
      <c r="C202" t="s">
        <v>269</v>
      </c>
      <c r="E202">
        <v>112268</v>
      </c>
      <c r="F202">
        <v>88674</v>
      </c>
      <c r="G202" t="s">
        <v>107</v>
      </c>
      <c r="H202" t="s">
        <v>3</v>
      </c>
    </row>
    <row r="203" spans="1:8" x14ac:dyDescent="0.3">
      <c r="A203" t="s">
        <v>278</v>
      </c>
      <c r="B203" t="s">
        <v>271</v>
      </c>
      <c r="C203" t="s">
        <v>269</v>
      </c>
      <c r="E203">
        <v>126259</v>
      </c>
      <c r="F203">
        <v>94004</v>
      </c>
      <c r="G203" t="s">
        <v>167</v>
      </c>
      <c r="H203" t="s">
        <v>3</v>
      </c>
    </row>
    <row r="204" spans="1:8" x14ac:dyDescent="0.3">
      <c r="A204" t="s">
        <v>279</v>
      </c>
      <c r="B204" t="s">
        <v>271</v>
      </c>
      <c r="C204" t="s">
        <v>269</v>
      </c>
      <c r="E204">
        <v>196021</v>
      </c>
      <c r="F204">
        <v>165224</v>
      </c>
      <c r="G204" t="s">
        <v>280</v>
      </c>
      <c r="H204" t="s">
        <v>3</v>
      </c>
    </row>
    <row r="205" spans="1:8" x14ac:dyDescent="0.3">
      <c r="A205" t="s">
        <v>281</v>
      </c>
      <c r="B205" t="s">
        <v>271</v>
      </c>
      <c r="C205" t="s">
        <v>269</v>
      </c>
      <c r="E205">
        <v>44501</v>
      </c>
      <c r="F205">
        <v>33260</v>
      </c>
      <c r="G205" t="s">
        <v>175</v>
      </c>
      <c r="H205" t="s">
        <v>3</v>
      </c>
    </row>
    <row r="206" spans="1:8" x14ac:dyDescent="0.3">
      <c r="A206" t="s">
        <v>282</v>
      </c>
      <c r="B206" t="s">
        <v>283</v>
      </c>
      <c r="C206" t="s">
        <v>263</v>
      </c>
      <c r="E206">
        <v>75249</v>
      </c>
      <c r="F206">
        <v>56753</v>
      </c>
      <c r="G206" t="s">
        <v>167</v>
      </c>
      <c r="H206" t="s">
        <v>3</v>
      </c>
    </row>
    <row r="207" spans="1:8" x14ac:dyDescent="0.3">
      <c r="A207" t="s">
        <v>284</v>
      </c>
      <c r="B207" t="s">
        <v>283</v>
      </c>
      <c r="C207" t="s">
        <v>263</v>
      </c>
      <c r="E207">
        <v>81678</v>
      </c>
      <c r="F207">
        <v>71176</v>
      </c>
      <c r="G207" t="s">
        <v>175</v>
      </c>
      <c r="H207" t="s">
        <v>3</v>
      </c>
    </row>
    <row r="208" spans="1:8" x14ac:dyDescent="0.3">
      <c r="A208" t="s">
        <v>285</v>
      </c>
      <c r="B208" t="s">
        <v>286</v>
      </c>
      <c r="C208" t="s">
        <v>286</v>
      </c>
      <c r="E208">
        <v>220237</v>
      </c>
      <c r="F208">
        <v>174493</v>
      </c>
      <c r="G208" t="s">
        <v>287</v>
      </c>
      <c r="H208" t="s">
        <v>5</v>
      </c>
    </row>
    <row r="209" spans="1:8" x14ac:dyDescent="0.3">
      <c r="A209" t="s">
        <v>288</v>
      </c>
      <c r="B209" t="s">
        <v>286</v>
      </c>
      <c r="C209" t="s">
        <v>286</v>
      </c>
      <c r="E209">
        <v>127980</v>
      </c>
      <c r="F209">
        <v>98888</v>
      </c>
      <c r="G209" t="s">
        <v>175</v>
      </c>
      <c r="H209" t="s">
        <v>5</v>
      </c>
    </row>
    <row r="210" spans="1:8" x14ac:dyDescent="0.3">
      <c r="A210" t="s">
        <v>289</v>
      </c>
      <c r="B210" t="s">
        <v>286</v>
      </c>
      <c r="C210" t="s">
        <v>286</v>
      </c>
      <c r="E210">
        <v>99267</v>
      </c>
      <c r="F210">
        <v>70600</v>
      </c>
      <c r="G210" t="s">
        <v>175</v>
      </c>
      <c r="H210" t="s">
        <v>5</v>
      </c>
    </row>
    <row r="211" spans="1:8" x14ac:dyDescent="0.3">
      <c r="A211" t="s">
        <v>290</v>
      </c>
      <c r="B211" t="s">
        <v>286</v>
      </c>
      <c r="C211" t="s">
        <v>286</v>
      </c>
      <c r="E211">
        <v>66009</v>
      </c>
      <c r="F211">
        <v>50244</v>
      </c>
      <c r="G211" t="s">
        <v>175</v>
      </c>
      <c r="H211" t="s">
        <v>5</v>
      </c>
    </row>
    <row r="212" spans="1:8" x14ac:dyDescent="0.3">
      <c r="A212" t="s">
        <v>291</v>
      </c>
      <c r="B212" t="s">
        <v>286</v>
      </c>
      <c r="C212" t="s">
        <v>286</v>
      </c>
      <c r="E212">
        <v>128022</v>
      </c>
      <c r="F212">
        <v>95655</v>
      </c>
      <c r="G212" t="s">
        <v>292</v>
      </c>
      <c r="H212" t="s">
        <v>5</v>
      </c>
    </row>
    <row r="213" spans="1:8" x14ac:dyDescent="0.3">
      <c r="A213" t="s">
        <v>293</v>
      </c>
      <c r="B213" t="s">
        <v>294</v>
      </c>
      <c r="C213" t="s">
        <v>294</v>
      </c>
      <c r="E213">
        <v>242858</v>
      </c>
      <c r="F213">
        <v>186102</v>
      </c>
      <c r="G213" t="s">
        <v>292</v>
      </c>
      <c r="H213" t="s">
        <v>5</v>
      </c>
    </row>
    <row r="214" spans="1:8" x14ac:dyDescent="0.3">
      <c r="A214" t="s">
        <v>295</v>
      </c>
      <c r="B214" t="s">
        <v>294</v>
      </c>
      <c r="C214" t="s">
        <v>294</v>
      </c>
      <c r="E214">
        <v>146152</v>
      </c>
      <c r="F214">
        <v>108327</v>
      </c>
      <c r="G214" t="s">
        <v>167</v>
      </c>
      <c r="H214" t="s">
        <v>5</v>
      </c>
    </row>
    <row r="215" spans="1:8" x14ac:dyDescent="0.3">
      <c r="A215" t="s">
        <v>296</v>
      </c>
      <c r="B215" t="s">
        <v>294</v>
      </c>
      <c r="C215" t="s">
        <v>294</v>
      </c>
      <c r="E215">
        <v>110320</v>
      </c>
      <c r="F215">
        <v>80691</v>
      </c>
      <c r="G215" t="s">
        <v>175</v>
      </c>
      <c r="H215" t="s">
        <v>5</v>
      </c>
    </row>
    <row r="216" spans="1:8" x14ac:dyDescent="0.3">
      <c r="A216" t="s">
        <v>297</v>
      </c>
      <c r="B216" t="s">
        <v>294</v>
      </c>
      <c r="C216" t="s">
        <v>294</v>
      </c>
      <c r="E216">
        <v>76053</v>
      </c>
      <c r="F216">
        <v>59355</v>
      </c>
      <c r="G216" t="s">
        <v>175</v>
      </c>
      <c r="H216" t="s">
        <v>5</v>
      </c>
    </row>
    <row r="217" spans="1:8" x14ac:dyDescent="0.3">
      <c r="A217" t="s">
        <v>298</v>
      </c>
      <c r="B217" t="s">
        <v>294</v>
      </c>
      <c r="C217" t="s">
        <v>294</v>
      </c>
      <c r="E217">
        <v>124995</v>
      </c>
      <c r="F217">
        <v>91663</v>
      </c>
      <c r="G217" t="s">
        <v>175</v>
      </c>
      <c r="H217" t="s">
        <v>5</v>
      </c>
    </row>
    <row r="218" spans="1:8" x14ac:dyDescent="0.3">
      <c r="A218" t="s">
        <v>299</v>
      </c>
      <c r="B218" t="s">
        <v>294</v>
      </c>
      <c r="C218" t="s">
        <v>294</v>
      </c>
      <c r="E218">
        <v>187209</v>
      </c>
      <c r="F218">
        <v>129400</v>
      </c>
      <c r="G218" t="s">
        <v>292</v>
      </c>
      <c r="H218" t="s">
        <v>5</v>
      </c>
    </row>
    <row r="219" spans="1:8" x14ac:dyDescent="0.3">
      <c r="A219" t="s">
        <v>300</v>
      </c>
      <c r="B219" t="s">
        <v>294</v>
      </c>
      <c r="C219" t="s">
        <v>294</v>
      </c>
      <c r="E219">
        <v>136552</v>
      </c>
      <c r="F219">
        <v>103709</v>
      </c>
      <c r="G219" t="s">
        <v>167</v>
      </c>
      <c r="H219" t="s">
        <v>5</v>
      </c>
    </row>
    <row r="220" spans="1:8" x14ac:dyDescent="0.3">
      <c r="A220" t="s">
        <v>301</v>
      </c>
      <c r="B220" t="s">
        <v>294</v>
      </c>
      <c r="C220" t="s">
        <v>294</v>
      </c>
      <c r="E220">
        <v>167207</v>
      </c>
      <c r="F220">
        <v>115478</v>
      </c>
      <c r="G220" t="s">
        <v>287</v>
      </c>
      <c r="H220" t="s">
        <v>5</v>
      </c>
    </row>
    <row r="221" spans="1:8" x14ac:dyDescent="0.3">
      <c r="A221" t="s">
        <v>302</v>
      </c>
      <c r="B221" t="s">
        <v>303</v>
      </c>
      <c r="C221" t="s">
        <v>303</v>
      </c>
      <c r="E221">
        <v>264801</v>
      </c>
      <c r="F221">
        <v>213859</v>
      </c>
      <c r="G221" t="s">
        <v>292</v>
      </c>
      <c r="H221" t="s">
        <v>5</v>
      </c>
    </row>
    <row r="222" spans="1:8" x14ac:dyDescent="0.3">
      <c r="A222" t="s">
        <v>304</v>
      </c>
      <c r="B222" t="s">
        <v>303</v>
      </c>
      <c r="C222" t="s">
        <v>303</v>
      </c>
      <c r="E222">
        <v>249205</v>
      </c>
      <c r="F222">
        <v>170531</v>
      </c>
      <c r="G222" t="s">
        <v>287</v>
      </c>
      <c r="H222" t="s">
        <v>5</v>
      </c>
    </row>
    <row r="223" spans="1:8" x14ac:dyDescent="0.3">
      <c r="A223" t="s">
        <v>305</v>
      </c>
      <c r="B223" t="s">
        <v>303</v>
      </c>
      <c r="C223" t="s">
        <v>303</v>
      </c>
      <c r="E223">
        <v>213413</v>
      </c>
      <c r="F223">
        <v>156613</v>
      </c>
      <c r="G223" t="s">
        <v>287</v>
      </c>
      <c r="H223" t="s">
        <v>5</v>
      </c>
    </row>
    <row r="224" spans="1:8" x14ac:dyDescent="0.3">
      <c r="A224" t="s">
        <v>306</v>
      </c>
      <c r="B224" t="s">
        <v>303</v>
      </c>
      <c r="C224" t="s">
        <v>303</v>
      </c>
      <c r="E224">
        <v>91917</v>
      </c>
      <c r="F224">
        <v>70063</v>
      </c>
      <c r="G224" t="s">
        <v>167</v>
      </c>
      <c r="H224" t="s">
        <v>5</v>
      </c>
    </row>
    <row r="225" spans="1:8" x14ac:dyDescent="0.3">
      <c r="A225" t="s">
        <v>307</v>
      </c>
      <c r="B225" t="s">
        <v>308</v>
      </c>
      <c r="C225" t="s">
        <v>309</v>
      </c>
      <c r="E225">
        <v>174987</v>
      </c>
      <c r="F225">
        <v>127135</v>
      </c>
      <c r="G225" t="s">
        <v>292</v>
      </c>
      <c r="H225" t="s">
        <v>5</v>
      </c>
    </row>
    <row r="226" spans="1:8" x14ac:dyDescent="0.3">
      <c r="A226" t="s">
        <v>310</v>
      </c>
      <c r="B226" t="s">
        <v>308</v>
      </c>
      <c r="C226" t="s">
        <v>309</v>
      </c>
      <c r="E226">
        <v>135224</v>
      </c>
      <c r="F226">
        <v>98973</v>
      </c>
      <c r="G226" t="s">
        <v>167</v>
      </c>
      <c r="H226" t="s">
        <v>5</v>
      </c>
    </row>
    <row r="227" spans="1:8" x14ac:dyDescent="0.3">
      <c r="A227" t="s">
        <v>311</v>
      </c>
      <c r="B227" t="s">
        <v>308</v>
      </c>
      <c r="C227" t="s">
        <v>309</v>
      </c>
      <c r="E227">
        <v>80239</v>
      </c>
      <c r="F227">
        <v>58555</v>
      </c>
      <c r="G227" t="s">
        <v>292</v>
      </c>
      <c r="H227" t="s">
        <v>5</v>
      </c>
    </row>
    <row r="228" spans="1:8" x14ac:dyDescent="0.3">
      <c r="A228" t="s">
        <v>312</v>
      </c>
      <c r="B228" t="s">
        <v>313</v>
      </c>
      <c r="C228" t="s">
        <v>314</v>
      </c>
      <c r="D228" t="s">
        <v>315</v>
      </c>
      <c r="E228">
        <v>40379</v>
      </c>
      <c r="F228">
        <v>26628</v>
      </c>
      <c r="G228" t="s">
        <v>16</v>
      </c>
      <c r="H228" t="s">
        <v>5</v>
      </c>
    </row>
    <row r="229" spans="1:8" x14ac:dyDescent="0.3">
      <c r="A229" t="s">
        <v>316</v>
      </c>
      <c r="B229" t="s">
        <v>313</v>
      </c>
      <c r="C229" t="s">
        <v>314</v>
      </c>
      <c r="E229">
        <v>299931</v>
      </c>
      <c r="F229">
        <v>209154</v>
      </c>
      <c r="G229" t="s">
        <v>22</v>
      </c>
      <c r="H229" t="s">
        <v>5</v>
      </c>
    </row>
    <row r="230" spans="1:8" x14ac:dyDescent="0.3">
      <c r="A230" t="s">
        <v>317</v>
      </c>
      <c r="B230" t="s">
        <v>313</v>
      </c>
      <c r="C230" t="s">
        <v>314</v>
      </c>
      <c r="E230">
        <v>131536</v>
      </c>
      <c r="F230">
        <v>97272</v>
      </c>
      <c r="G230" t="s">
        <v>133</v>
      </c>
      <c r="H230" t="s">
        <v>5</v>
      </c>
    </row>
    <row r="231" spans="1:8" x14ac:dyDescent="0.3">
      <c r="A231" t="s">
        <v>318</v>
      </c>
      <c r="B231" t="s">
        <v>313</v>
      </c>
      <c r="C231" t="s">
        <v>314</v>
      </c>
      <c r="E231">
        <v>398333</v>
      </c>
      <c r="F231">
        <v>256316</v>
      </c>
      <c r="G231" t="s">
        <v>16</v>
      </c>
      <c r="H231" t="s">
        <v>5</v>
      </c>
    </row>
    <row r="232" spans="1:8" x14ac:dyDescent="0.3">
      <c r="A232" t="s">
        <v>319</v>
      </c>
      <c r="B232" t="s">
        <v>313</v>
      </c>
      <c r="C232" t="s">
        <v>314</v>
      </c>
      <c r="E232">
        <v>153293</v>
      </c>
      <c r="F232">
        <v>113221</v>
      </c>
      <c r="G232" t="s">
        <v>133</v>
      </c>
      <c r="H232" t="s">
        <v>5</v>
      </c>
    </row>
    <row r="233" spans="1:8" x14ac:dyDescent="0.3">
      <c r="A233" t="s">
        <v>320</v>
      </c>
      <c r="B233" t="s">
        <v>313</v>
      </c>
      <c r="C233" t="s">
        <v>321</v>
      </c>
      <c r="D233" t="s">
        <v>322</v>
      </c>
      <c r="E233">
        <v>134849</v>
      </c>
      <c r="F233">
        <v>94536</v>
      </c>
      <c r="G233" t="s">
        <v>35</v>
      </c>
      <c r="H233" t="s">
        <v>5</v>
      </c>
    </row>
    <row r="234" spans="1:8" x14ac:dyDescent="0.3">
      <c r="A234" t="s">
        <v>323</v>
      </c>
      <c r="B234" t="s">
        <v>313</v>
      </c>
      <c r="C234" t="s">
        <v>321</v>
      </c>
      <c r="D234" t="s">
        <v>324</v>
      </c>
      <c r="E234">
        <v>114401</v>
      </c>
      <c r="F234">
        <v>90492</v>
      </c>
      <c r="G234" t="s">
        <v>22</v>
      </c>
      <c r="H234" t="s">
        <v>5</v>
      </c>
    </row>
    <row r="235" spans="1:8" x14ac:dyDescent="0.3">
      <c r="A235" t="s">
        <v>325</v>
      </c>
      <c r="B235" t="s">
        <v>313</v>
      </c>
      <c r="C235" t="s">
        <v>321</v>
      </c>
      <c r="E235">
        <v>139231</v>
      </c>
      <c r="F235">
        <v>100698</v>
      </c>
      <c r="G235" t="s">
        <v>22</v>
      </c>
      <c r="H235" t="s">
        <v>5</v>
      </c>
    </row>
    <row r="236" spans="1:8" x14ac:dyDescent="0.3">
      <c r="A236" t="s">
        <v>326</v>
      </c>
      <c r="B236" t="s">
        <v>313</v>
      </c>
      <c r="C236" t="s">
        <v>314</v>
      </c>
      <c r="E236">
        <v>296556</v>
      </c>
      <c r="F236">
        <v>225740</v>
      </c>
      <c r="G236" t="s">
        <v>32</v>
      </c>
      <c r="H236" t="s">
        <v>5</v>
      </c>
    </row>
    <row r="237" spans="1:8" x14ac:dyDescent="0.3">
      <c r="A237" t="s">
        <v>327</v>
      </c>
      <c r="B237" t="s">
        <v>313</v>
      </c>
      <c r="C237" t="s">
        <v>328</v>
      </c>
      <c r="E237">
        <v>219231</v>
      </c>
      <c r="F237">
        <v>170163</v>
      </c>
      <c r="G237" t="s">
        <v>22</v>
      </c>
      <c r="H237" t="s">
        <v>5</v>
      </c>
    </row>
    <row r="238" spans="1:8" x14ac:dyDescent="0.3">
      <c r="A238" t="s">
        <v>329</v>
      </c>
      <c r="B238" t="s">
        <v>313</v>
      </c>
      <c r="C238" t="s">
        <v>328</v>
      </c>
      <c r="E238">
        <v>369019</v>
      </c>
      <c r="F238">
        <v>267111</v>
      </c>
      <c r="G238" t="s">
        <v>35</v>
      </c>
      <c r="H238" t="s">
        <v>5</v>
      </c>
    </row>
    <row r="239" spans="1:8" x14ac:dyDescent="0.3">
      <c r="A239" t="s">
        <v>330</v>
      </c>
      <c r="B239" t="s">
        <v>313</v>
      </c>
      <c r="C239" t="s">
        <v>328</v>
      </c>
      <c r="E239">
        <v>318442</v>
      </c>
      <c r="F239">
        <v>204610</v>
      </c>
      <c r="G239" t="s">
        <v>16</v>
      </c>
      <c r="H239" t="s">
        <v>5</v>
      </c>
    </row>
    <row r="240" spans="1:8" x14ac:dyDescent="0.3">
      <c r="A240" t="s">
        <v>331</v>
      </c>
      <c r="B240" t="s">
        <v>313</v>
      </c>
      <c r="C240" t="s">
        <v>328</v>
      </c>
      <c r="D240" t="s">
        <v>332</v>
      </c>
      <c r="E240">
        <v>383388</v>
      </c>
      <c r="F240">
        <v>276112</v>
      </c>
      <c r="G240" t="s">
        <v>35</v>
      </c>
      <c r="H240" t="s">
        <v>5</v>
      </c>
    </row>
    <row r="241" spans="1:8" x14ac:dyDescent="0.3">
      <c r="A241" t="s">
        <v>333</v>
      </c>
      <c r="B241" t="s">
        <v>313</v>
      </c>
      <c r="C241" t="s">
        <v>328</v>
      </c>
      <c r="E241">
        <v>230321</v>
      </c>
      <c r="F241">
        <v>155256</v>
      </c>
      <c r="G241" t="s">
        <v>35</v>
      </c>
      <c r="H241" t="s">
        <v>5</v>
      </c>
    </row>
    <row r="242" spans="1:8" x14ac:dyDescent="0.3">
      <c r="A242" t="s">
        <v>334</v>
      </c>
      <c r="B242" t="s">
        <v>313</v>
      </c>
      <c r="C242" t="s">
        <v>328</v>
      </c>
      <c r="D242" t="s">
        <v>335</v>
      </c>
      <c r="E242">
        <v>299512</v>
      </c>
      <c r="F242">
        <v>221459</v>
      </c>
      <c r="G242" t="s">
        <v>22</v>
      </c>
      <c r="H242" t="s">
        <v>5</v>
      </c>
    </row>
    <row r="243" spans="1:8" x14ac:dyDescent="0.3">
      <c r="A243" t="s">
        <v>336</v>
      </c>
      <c r="B243" t="s">
        <v>313</v>
      </c>
      <c r="C243" t="s">
        <v>328</v>
      </c>
      <c r="E243">
        <v>170557</v>
      </c>
      <c r="F243">
        <v>121196</v>
      </c>
      <c r="G243" t="s">
        <v>35</v>
      </c>
      <c r="H243" t="s">
        <v>5</v>
      </c>
    </row>
    <row r="244" spans="1:8" x14ac:dyDescent="0.3">
      <c r="A244" t="s">
        <v>337</v>
      </c>
      <c r="B244" t="s">
        <v>313</v>
      </c>
      <c r="C244" t="s">
        <v>338</v>
      </c>
      <c r="E244">
        <v>147887</v>
      </c>
      <c r="F244">
        <v>99003</v>
      </c>
      <c r="G244" t="s">
        <v>25</v>
      </c>
      <c r="H244" t="s">
        <v>5</v>
      </c>
    </row>
    <row r="245" spans="1:8" x14ac:dyDescent="0.3">
      <c r="A245" t="s">
        <v>339</v>
      </c>
      <c r="B245" t="s">
        <v>313</v>
      </c>
      <c r="C245" t="s">
        <v>338</v>
      </c>
      <c r="E245">
        <v>174042</v>
      </c>
      <c r="F245">
        <v>127833</v>
      </c>
      <c r="G245" t="s">
        <v>22</v>
      </c>
      <c r="H245" t="s">
        <v>5</v>
      </c>
    </row>
    <row r="246" spans="1:8" x14ac:dyDescent="0.3">
      <c r="A246" t="s">
        <v>340</v>
      </c>
      <c r="B246" t="s">
        <v>313</v>
      </c>
      <c r="C246" t="s">
        <v>338</v>
      </c>
      <c r="E246">
        <v>197819</v>
      </c>
      <c r="F246">
        <v>147593</v>
      </c>
      <c r="G246" t="s">
        <v>22</v>
      </c>
      <c r="H246" t="s">
        <v>5</v>
      </c>
    </row>
    <row r="247" spans="1:8" x14ac:dyDescent="0.3">
      <c r="A247" t="s">
        <v>341</v>
      </c>
      <c r="B247" t="s">
        <v>313</v>
      </c>
      <c r="C247" t="s">
        <v>338</v>
      </c>
      <c r="E247">
        <v>181413</v>
      </c>
      <c r="F247">
        <v>135528</v>
      </c>
      <c r="G247" t="s">
        <v>22</v>
      </c>
      <c r="H247" t="s">
        <v>5</v>
      </c>
    </row>
    <row r="248" spans="1:8" x14ac:dyDescent="0.3">
      <c r="A248" t="s">
        <v>342</v>
      </c>
      <c r="B248" t="s">
        <v>313</v>
      </c>
      <c r="C248" t="s">
        <v>338</v>
      </c>
      <c r="E248">
        <v>224791</v>
      </c>
      <c r="F248">
        <v>143955</v>
      </c>
      <c r="G248" t="s">
        <v>16</v>
      </c>
      <c r="H248" t="s">
        <v>5</v>
      </c>
    </row>
    <row r="249" spans="1:8" x14ac:dyDescent="0.3">
      <c r="A249" t="s">
        <v>343</v>
      </c>
      <c r="B249" t="s">
        <v>313</v>
      </c>
      <c r="C249" t="s">
        <v>338</v>
      </c>
      <c r="E249">
        <v>175781</v>
      </c>
      <c r="F249">
        <v>127263</v>
      </c>
      <c r="G249" t="s">
        <v>133</v>
      </c>
      <c r="H249" t="s">
        <v>5</v>
      </c>
    </row>
    <row r="250" spans="1:8" x14ac:dyDescent="0.3">
      <c r="A250" t="s">
        <v>344</v>
      </c>
      <c r="B250" t="s">
        <v>313</v>
      </c>
      <c r="C250" t="s">
        <v>321</v>
      </c>
      <c r="E250">
        <v>93470</v>
      </c>
      <c r="F250">
        <v>69123</v>
      </c>
      <c r="G250" t="s">
        <v>107</v>
      </c>
      <c r="H250" t="s">
        <v>5</v>
      </c>
    </row>
    <row r="251" spans="1:8" x14ac:dyDescent="0.3">
      <c r="A251" t="s">
        <v>345</v>
      </c>
      <c r="B251" t="s">
        <v>313</v>
      </c>
      <c r="C251" t="s">
        <v>321</v>
      </c>
      <c r="E251">
        <v>92316</v>
      </c>
      <c r="F251">
        <v>69174</v>
      </c>
      <c r="G251" t="s">
        <v>258</v>
      </c>
      <c r="H251" t="s">
        <v>5</v>
      </c>
    </row>
    <row r="252" spans="1:8" x14ac:dyDescent="0.3">
      <c r="A252" t="s">
        <v>346</v>
      </c>
      <c r="B252" t="s">
        <v>313</v>
      </c>
      <c r="C252" t="s">
        <v>309</v>
      </c>
      <c r="E252">
        <v>152060</v>
      </c>
      <c r="F252">
        <v>106796</v>
      </c>
      <c r="G252" t="s">
        <v>258</v>
      </c>
      <c r="H252" t="s">
        <v>5</v>
      </c>
    </row>
    <row r="253" spans="1:8" x14ac:dyDescent="0.3">
      <c r="A253" t="s">
        <v>347</v>
      </c>
      <c r="B253" t="s">
        <v>313</v>
      </c>
      <c r="C253" t="s">
        <v>321</v>
      </c>
      <c r="E253">
        <v>158247</v>
      </c>
      <c r="F253">
        <v>124138</v>
      </c>
      <c r="G253" t="s">
        <v>107</v>
      </c>
      <c r="H253" t="s">
        <v>5</v>
      </c>
    </row>
    <row r="254" spans="1:8" x14ac:dyDescent="0.3">
      <c r="A254" t="s">
        <v>348</v>
      </c>
      <c r="B254" t="s">
        <v>313</v>
      </c>
      <c r="C254" t="s">
        <v>321</v>
      </c>
      <c r="E254">
        <v>155469</v>
      </c>
      <c r="F254">
        <v>113376</v>
      </c>
      <c r="G254" t="s">
        <v>107</v>
      </c>
      <c r="H254" t="s">
        <v>5</v>
      </c>
    </row>
    <row r="255" spans="1:8" x14ac:dyDescent="0.3">
      <c r="A255" t="s">
        <v>349</v>
      </c>
      <c r="B255" t="s">
        <v>313</v>
      </c>
      <c r="C255" t="s">
        <v>321</v>
      </c>
      <c r="D255" t="s">
        <v>350</v>
      </c>
      <c r="E255">
        <v>122411</v>
      </c>
      <c r="F255">
        <v>95263</v>
      </c>
      <c r="G255" t="s">
        <v>22</v>
      </c>
      <c r="H255" t="s">
        <v>5</v>
      </c>
    </row>
    <row r="256" spans="1:8" x14ac:dyDescent="0.3">
      <c r="A256" t="s">
        <v>351</v>
      </c>
      <c r="B256" t="s">
        <v>313</v>
      </c>
      <c r="C256" t="s">
        <v>321</v>
      </c>
      <c r="D256" t="s">
        <v>350</v>
      </c>
      <c r="E256">
        <v>127135</v>
      </c>
      <c r="F256">
        <v>104320</v>
      </c>
      <c r="G256" t="s">
        <v>22</v>
      </c>
      <c r="H256" t="s">
        <v>5</v>
      </c>
    </row>
    <row r="257" spans="1:8" x14ac:dyDescent="0.3">
      <c r="A257" t="s">
        <v>352</v>
      </c>
      <c r="B257" t="s">
        <v>313</v>
      </c>
      <c r="C257" t="s">
        <v>309</v>
      </c>
      <c r="E257">
        <v>156747</v>
      </c>
      <c r="F257">
        <v>113235</v>
      </c>
      <c r="G257" t="s">
        <v>32</v>
      </c>
      <c r="H257" t="s">
        <v>5</v>
      </c>
    </row>
    <row r="258" spans="1:8" x14ac:dyDescent="0.3">
      <c r="A258" t="s">
        <v>353</v>
      </c>
      <c r="B258" t="s">
        <v>313</v>
      </c>
      <c r="C258" t="s">
        <v>309</v>
      </c>
      <c r="E258">
        <v>229902</v>
      </c>
      <c r="F258">
        <v>172074</v>
      </c>
      <c r="G258" t="s">
        <v>27</v>
      </c>
      <c r="H258" t="s">
        <v>5</v>
      </c>
    </row>
    <row r="259" spans="1:8" x14ac:dyDescent="0.3">
      <c r="A259" t="s">
        <v>354</v>
      </c>
      <c r="B259" t="s">
        <v>313</v>
      </c>
      <c r="C259" t="s">
        <v>309</v>
      </c>
      <c r="E259">
        <v>256738</v>
      </c>
      <c r="F259">
        <v>165927</v>
      </c>
      <c r="G259" t="s">
        <v>133</v>
      </c>
      <c r="H259" t="s">
        <v>5</v>
      </c>
    </row>
    <row r="260" spans="1:8" x14ac:dyDescent="0.3">
      <c r="A260" t="s">
        <v>355</v>
      </c>
      <c r="B260" t="s">
        <v>313</v>
      </c>
      <c r="C260" t="s">
        <v>309</v>
      </c>
      <c r="D260" t="s">
        <v>356</v>
      </c>
      <c r="E260">
        <v>279618</v>
      </c>
      <c r="F260">
        <v>206278</v>
      </c>
      <c r="G260" t="s">
        <v>40</v>
      </c>
      <c r="H260" t="s">
        <v>5</v>
      </c>
    </row>
    <row r="261" spans="1:8" x14ac:dyDescent="0.3">
      <c r="A261" t="s">
        <v>357</v>
      </c>
      <c r="B261" t="s">
        <v>313</v>
      </c>
      <c r="C261" t="s">
        <v>309</v>
      </c>
      <c r="D261" t="s">
        <v>356</v>
      </c>
      <c r="E261">
        <v>240486</v>
      </c>
      <c r="F261">
        <v>184010</v>
      </c>
      <c r="G261" t="s">
        <v>40</v>
      </c>
      <c r="H261" t="s">
        <v>5</v>
      </c>
    </row>
    <row r="262" spans="1:8" x14ac:dyDescent="0.3">
      <c r="A262" t="s">
        <v>358</v>
      </c>
      <c r="B262" t="s">
        <v>359</v>
      </c>
      <c r="C262" t="s">
        <v>360</v>
      </c>
      <c r="E262">
        <v>282052</v>
      </c>
      <c r="F262">
        <v>190485</v>
      </c>
      <c r="G262" t="s">
        <v>16</v>
      </c>
      <c r="H262" t="s">
        <v>5</v>
      </c>
    </row>
    <row r="263" spans="1:8" x14ac:dyDescent="0.3">
      <c r="A263" t="s">
        <v>361</v>
      </c>
      <c r="B263" t="s">
        <v>362</v>
      </c>
      <c r="C263" t="s">
        <v>363</v>
      </c>
      <c r="E263">
        <v>275666</v>
      </c>
      <c r="F263">
        <v>193625</v>
      </c>
      <c r="G263" t="s">
        <v>167</v>
      </c>
      <c r="H263" t="s">
        <v>5</v>
      </c>
    </row>
    <row r="264" spans="1:8" x14ac:dyDescent="0.3">
      <c r="A264" t="s">
        <v>364</v>
      </c>
      <c r="B264" t="s">
        <v>362</v>
      </c>
      <c r="C264" t="s">
        <v>363</v>
      </c>
      <c r="E264">
        <v>100252</v>
      </c>
      <c r="F264">
        <v>72379</v>
      </c>
      <c r="G264" t="s">
        <v>175</v>
      </c>
      <c r="H264" t="s">
        <v>5</v>
      </c>
    </row>
    <row r="265" spans="1:8" x14ac:dyDescent="0.3">
      <c r="A265" t="s">
        <v>365</v>
      </c>
      <c r="B265" t="s">
        <v>366</v>
      </c>
      <c r="C265" t="s">
        <v>363</v>
      </c>
      <c r="E265">
        <v>89764</v>
      </c>
      <c r="F265">
        <v>69359</v>
      </c>
      <c r="G265" t="s">
        <v>175</v>
      </c>
      <c r="H265" t="s">
        <v>5</v>
      </c>
    </row>
    <row r="266" spans="1:8" x14ac:dyDescent="0.3">
      <c r="A266" t="s">
        <v>367</v>
      </c>
      <c r="B266" t="s">
        <v>366</v>
      </c>
      <c r="C266" t="s">
        <v>363</v>
      </c>
      <c r="E266">
        <v>28304</v>
      </c>
      <c r="F266">
        <v>21489</v>
      </c>
      <c r="G266" t="s">
        <v>175</v>
      </c>
      <c r="H266" t="s">
        <v>5</v>
      </c>
    </row>
    <row r="267" spans="1:8" x14ac:dyDescent="0.3">
      <c r="A267" t="s">
        <v>368</v>
      </c>
      <c r="B267" t="s">
        <v>369</v>
      </c>
      <c r="C267" t="s">
        <v>369</v>
      </c>
      <c r="E267">
        <v>245622</v>
      </c>
      <c r="F267">
        <v>192096</v>
      </c>
      <c r="G267" t="s">
        <v>292</v>
      </c>
      <c r="H267" t="s">
        <v>5</v>
      </c>
    </row>
    <row r="268" spans="1:8" x14ac:dyDescent="0.3">
      <c r="A268" t="s">
        <v>370</v>
      </c>
      <c r="B268" t="s">
        <v>369</v>
      </c>
      <c r="C268" t="s">
        <v>369</v>
      </c>
      <c r="E268">
        <v>277719</v>
      </c>
      <c r="F268">
        <v>206122</v>
      </c>
      <c r="G268" t="s">
        <v>292</v>
      </c>
      <c r="H268" t="s">
        <v>5</v>
      </c>
    </row>
    <row r="269" spans="1:8" x14ac:dyDescent="0.3">
      <c r="A269" t="s">
        <v>371</v>
      </c>
      <c r="B269" t="s">
        <v>369</v>
      </c>
      <c r="C269" t="s">
        <v>369</v>
      </c>
      <c r="E269">
        <v>90649</v>
      </c>
      <c r="F269">
        <v>71019</v>
      </c>
      <c r="G269" t="s">
        <v>175</v>
      </c>
      <c r="H269" t="s">
        <v>5</v>
      </c>
    </row>
    <row r="270" spans="1:8" x14ac:dyDescent="0.3">
      <c r="A270" t="s">
        <v>372</v>
      </c>
      <c r="B270" t="s">
        <v>373</v>
      </c>
      <c r="C270" t="s">
        <v>374</v>
      </c>
      <c r="E270">
        <v>50338</v>
      </c>
      <c r="F270">
        <v>40204</v>
      </c>
      <c r="G270" t="s">
        <v>175</v>
      </c>
      <c r="H270" t="s">
        <v>5</v>
      </c>
    </row>
    <row r="271" spans="1:8" x14ac:dyDescent="0.3">
      <c r="A271" t="s">
        <v>375</v>
      </c>
      <c r="B271" t="s">
        <v>373</v>
      </c>
      <c r="C271" t="s">
        <v>374</v>
      </c>
      <c r="E271">
        <v>96519</v>
      </c>
      <c r="F271">
        <v>67329</v>
      </c>
      <c r="G271" t="s">
        <v>175</v>
      </c>
      <c r="H271" t="s">
        <v>5</v>
      </c>
    </row>
    <row r="272" spans="1:8" x14ac:dyDescent="0.3">
      <c r="A272" t="s">
        <v>376</v>
      </c>
      <c r="B272" t="s">
        <v>373</v>
      </c>
      <c r="C272" t="s">
        <v>374</v>
      </c>
      <c r="E272">
        <v>27760</v>
      </c>
      <c r="F272">
        <v>22395</v>
      </c>
      <c r="G272" t="s">
        <v>175</v>
      </c>
      <c r="H272" t="s">
        <v>5</v>
      </c>
    </row>
    <row r="273" spans="1:8" x14ac:dyDescent="0.3">
      <c r="A273" t="s">
        <v>377</v>
      </c>
      <c r="B273" t="s">
        <v>378</v>
      </c>
      <c r="C273" t="s">
        <v>374</v>
      </c>
      <c r="E273">
        <v>157748</v>
      </c>
      <c r="F273">
        <v>112520</v>
      </c>
      <c r="G273" t="s">
        <v>287</v>
      </c>
      <c r="H273" t="s">
        <v>5</v>
      </c>
    </row>
    <row r="274" spans="1:8" x14ac:dyDescent="0.3">
      <c r="A274" t="s">
        <v>379</v>
      </c>
      <c r="B274" t="s">
        <v>378</v>
      </c>
      <c r="C274" t="s">
        <v>374</v>
      </c>
      <c r="E274">
        <v>105708</v>
      </c>
      <c r="F274">
        <v>82155</v>
      </c>
      <c r="G274" t="s">
        <v>175</v>
      </c>
      <c r="H274" t="s">
        <v>5</v>
      </c>
    </row>
    <row r="275" spans="1:8" x14ac:dyDescent="0.3">
      <c r="A275" t="s">
        <v>380</v>
      </c>
      <c r="B275" t="s">
        <v>378</v>
      </c>
      <c r="C275" t="s">
        <v>374</v>
      </c>
      <c r="E275">
        <v>105601</v>
      </c>
      <c r="F275">
        <v>75780</v>
      </c>
      <c r="G275" t="s">
        <v>175</v>
      </c>
      <c r="H275" t="s">
        <v>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3E302-2157-427E-96E6-AA9F245F3B7E}">
  <dimension ref="A1:O37"/>
  <sheetViews>
    <sheetView workbookViewId="0">
      <selection activeCell="G14" sqref="G14"/>
    </sheetView>
  </sheetViews>
  <sheetFormatPr defaultRowHeight="15" x14ac:dyDescent="0.3"/>
  <sheetData>
    <row r="1" spans="1:15" x14ac:dyDescent="0.3">
      <c r="A1" s="2" t="s">
        <v>7</v>
      </c>
      <c r="B1" s="2" t="s">
        <v>421</v>
      </c>
      <c r="C1" s="2" t="s">
        <v>422</v>
      </c>
      <c r="D1" s="2" t="s">
        <v>13</v>
      </c>
      <c r="E1" s="2" t="s">
        <v>17</v>
      </c>
      <c r="F1" s="2" t="s">
        <v>213</v>
      </c>
      <c r="G1" s="2" t="s">
        <v>216</v>
      </c>
      <c r="H1" s="2" t="s">
        <v>68</v>
      </c>
      <c r="I1" s="2" t="s">
        <v>70</v>
      </c>
      <c r="J1" s="2" t="s">
        <v>423</v>
      </c>
      <c r="K1" s="2" t="s">
        <v>424</v>
      </c>
      <c r="L1" s="2" t="s">
        <v>111</v>
      </c>
      <c r="M1" s="2" t="s">
        <v>114</v>
      </c>
      <c r="N1" s="2" t="s">
        <v>425</v>
      </c>
      <c r="O1" s="2" t="s">
        <v>426</v>
      </c>
    </row>
    <row r="2" spans="1:15" x14ac:dyDescent="0.3">
      <c r="A2" t="s">
        <v>382</v>
      </c>
      <c r="B2" t="s">
        <v>383</v>
      </c>
      <c r="C2">
        <v>144671</v>
      </c>
      <c r="D2">
        <v>178455</v>
      </c>
      <c r="E2">
        <v>188608</v>
      </c>
      <c r="F2">
        <v>694513</v>
      </c>
      <c r="G2">
        <v>117980</v>
      </c>
      <c r="H2">
        <v>266298</v>
      </c>
      <c r="I2">
        <v>236525</v>
      </c>
      <c r="J2">
        <v>672770</v>
      </c>
      <c r="K2">
        <v>90529</v>
      </c>
      <c r="L2">
        <v>301677</v>
      </c>
      <c r="M2">
        <v>164343</v>
      </c>
      <c r="N2">
        <v>283338</v>
      </c>
      <c r="O2">
        <v>50444</v>
      </c>
    </row>
    <row r="3" spans="1:15" x14ac:dyDescent="0.3">
      <c r="A3" t="s">
        <v>384</v>
      </c>
      <c r="B3" t="s">
        <v>383</v>
      </c>
      <c r="C3">
        <v>22169</v>
      </c>
      <c r="D3">
        <v>56996</v>
      </c>
      <c r="E3">
        <v>83903</v>
      </c>
      <c r="F3">
        <v>316881</v>
      </c>
      <c r="G3">
        <v>52630</v>
      </c>
      <c r="H3">
        <v>164058</v>
      </c>
      <c r="I3">
        <v>130904</v>
      </c>
      <c r="J3">
        <v>509102</v>
      </c>
      <c r="K3">
        <v>52811</v>
      </c>
      <c r="L3">
        <v>218012</v>
      </c>
      <c r="M3">
        <v>104598</v>
      </c>
      <c r="N3">
        <v>256294</v>
      </c>
      <c r="O3">
        <v>49152</v>
      </c>
    </row>
    <row r="4" spans="1:15" x14ac:dyDescent="0.3">
      <c r="A4" t="s">
        <v>385</v>
      </c>
      <c r="B4" t="s">
        <v>383</v>
      </c>
      <c r="C4">
        <v>21413</v>
      </c>
      <c r="D4">
        <v>33423</v>
      </c>
      <c r="E4">
        <v>99632</v>
      </c>
      <c r="F4">
        <v>282782</v>
      </c>
      <c r="G4">
        <v>61882</v>
      </c>
      <c r="H4">
        <v>233307</v>
      </c>
      <c r="I4">
        <v>185421</v>
      </c>
      <c r="J4">
        <v>673693</v>
      </c>
      <c r="K4">
        <v>67449</v>
      </c>
      <c r="L4">
        <v>313138</v>
      </c>
      <c r="M4">
        <v>130697</v>
      </c>
      <c r="N4">
        <v>284248</v>
      </c>
      <c r="O4">
        <v>61592</v>
      </c>
    </row>
    <row r="5" spans="1:15" x14ac:dyDescent="0.3">
      <c r="A5" t="s">
        <v>386</v>
      </c>
      <c r="B5" t="s">
        <v>383</v>
      </c>
      <c r="C5">
        <v>50162</v>
      </c>
      <c r="D5">
        <v>68556</v>
      </c>
      <c r="E5">
        <v>53382</v>
      </c>
      <c r="F5">
        <v>1619757</v>
      </c>
      <c r="G5">
        <v>129247</v>
      </c>
      <c r="H5">
        <v>66028</v>
      </c>
      <c r="I5">
        <v>62009</v>
      </c>
      <c r="J5">
        <v>112004</v>
      </c>
      <c r="K5">
        <v>41347</v>
      </c>
      <c r="L5">
        <v>52228</v>
      </c>
      <c r="M5">
        <v>214597</v>
      </c>
      <c r="N5">
        <v>44752</v>
      </c>
      <c r="O5">
        <v>31044</v>
      </c>
    </row>
    <row r="6" spans="1:15" x14ac:dyDescent="0.3">
      <c r="A6" t="s">
        <v>387</v>
      </c>
      <c r="B6" t="s">
        <v>383</v>
      </c>
      <c r="C6">
        <v>461</v>
      </c>
      <c r="D6">
        <v>1043</v>
      </c>
      <c r="E6">
        <v>1833</v>
      </c>
      <c r="F6">
        <v>4382</v>
      </c>
      <c r="G6">
        <v>1824</v>
      </c>
      <c r="H6">
        <v>7187</v>
      </c>
      <c r="I6">
        <v>4588</v>
      </c>
      <c r="J6">
        <v>24974</v>
      </c>
      <c r="K6">
        <v>989</v>
      </c>
      <c r="L6">
        <v>18779</v>
      </c>
      <c r="M6">
        <v>4193</v>
      </c>
      <c r="N6">
        <v>25895</v>
      </c>
      <c r="O6">
        <v>13131</v>
      </c>
    </row>
    <row r="7" spans="1:15" x14ac:dyDescent="0.3">
      <c r="A7" t="s">
        <v>388</v>
      </c>
      <c r="B7" t="s">
        <v>383</v>
      </c>
      <c r="C7">
        <v>7687</v>
      </c>
      <c r="D7">
        <v>14454</v>
      </c>
      <c r="E7">
        <v>51778</v>
      </c>
      <c r="F7">
        <v>166280</v>
      </c>
      <c r="G7">
        <v>33171</v>
      </c>
      <c r="H7">
        <v>130976</v>
      </c>
      <c r="I7">
        <v>90086</v>
      </c>
      <c r="J7">
        <v>413185</v>
      </c>
      <c r="K7">
        <v>28560</v>
      </c>
      <c r="L7">
        <v>225597</v>
      </c>
      <c r="M7">
        <v>88295</v>
      </c>
      <c r="N7">
        <v>246526</v>
      </c>
      <c r="O7">
        <v>62398</v>
      </c>
    </row>
    <row r="8" spans="1:15" x14ac:dyDescent="0.3">
      <c r="A8" t="s">
        <v>69</v>
      </c>
      <c r="B8" t="s">
        <v>383</v>
      </c>
      <c r="C8">
        <v>21389</v>
      </c>
      <c r="D8">
        <v>46418</v>
      </c>
      <c r="E8">
        <v>94166</v>
      </c>
      <c r="F8">
        <v>551916</v>
      </c>
      <c r="G8">
        <v>125108</v>
      </c>
      <c r="H8">
        <v>160224</v>
      </c>
      <c r="I8">
        <v>131428</v>
      </c>
      <c r="J8">
        <v>420688</v>
      </c>
      <c r="K8">
        <v>55076</v>
      </c>
      <c r="L8">
        <v>195272</v>
      </c>
      <c r="M8">
        <v>108332</v>
      </c>
      <c r="N8">
        <v>185445</v>
      </c>
      <c r="O8">
        <v>47788</v>
      </c>
    </row>
    <row r="9" spans="1:15" x14ac:dyDescent="0.3">
      <c r="A9" t="s">
        <v>389</v>
      </c>
      <c r="B9" t="s">
        <v>383</v>
      </c>
      <c r="C9">
        <v>13524</v>
      </c>
      <c r="D9">
        <v>20683</v>
      </c>
      <c r="E9">
        <v>35196</v>
      </c>
      <c r="F9">
        <v>164545</v>
      </c>
      <c r="G9">
        <v>25520</v>
      </c>
      <c r="H9">
        <v>86148</v>
      </c>
      <c r="I9">
        <v>66559</v>
      </c>
      <c r="J9">
        <v>232579</v>
      </c>
      <c r="K9">
        <v>21438</v>
      </c>
      <c r="L9">
        <v>120058</v>
      </c>
      <c r="M9">
        <v>46683</v>
      </c>
      <c r="N9">
        <v>126027</v>
      </c>
      <c r="O9">
        <v>30087</v>
      </c>
    </row>
    <row r="10" spans="1:15" x14ac:dyDescent="0.3">
      <c r="A10" t="s">
        <v>390</v>
      </c>
      <c r="B10" t="s">
        <v>383</v>
      </c>
      <c r="C10">
        <v>4755</v>
      </c>
      <c r="D10">
        <v>11742</v>
      </c>
      <c r="E10">
        <v>22490</v>
      </c>
      <c r="F10">
        <v>129107</v>
      </c>
      <c r="G10">
        <v>19481</v>
      </c>
      <c r="H10">
        <v>56663</v>
      </c>
      <c r="I10">
        <v>42906</v>
      </c>
      <c r="J10">
        <v>187536</v>
      </c>
      <c r="K10">
        <v>16340</v>
      </c>
      <c r="L10">
        <v>81855</v>
      </c>
      <c r="M10">
        <v>34513</v>
      </c>
      <c r="N10">
        <v>86861</v>
      </c>
      <c r="O10">
        <v>38707</v>
      </c>
    </row>
    <row r="11" spans="1:15" x14ac:dyDescent="0.3">
      <c r="A11" t="s">
        <v>391</v>
      </c>
      <c r="B11" t="s">
        <v>392</v>
      </c>
      <c r="C11">
        <v>3552</v>
      </c>
      <c r="D11">
        <v>9172</v>
      </c>
      <c r="E11">
        <v>9904</v>
      </c>
      <c r="F11">
        <v>38892</v>
      </c>
      <c r="G11">
        <v>7239</v>
      </c>
      <c r="H11">
        <v>34028</v>
      </c>
      <c r="I11">
        <v>29792</v>
      </c>
      <c r="J11">
        <v>70472</v>
      </c>
      <c r="K11">
        <v>5189</v>
      </c>
      <c r="L11">
        <v>49805</v>
      </c>
      <c r="M11">
        <v>17662</v>
      </c>
      <c r="N11">
        <v>69619</v>
      </c>
      <c r="O11">
        <v>70677</v>
      </c>
    </row>
    <row r="12" spans="1:15" x14ac:dyDescent="0.3">
      <c r="A12" t="s">
        <v>393</v>
      </c>
      <c r="B12" t="s">
        <v>392</v>
      </c>
      <c r="C12">
        <v>21985</v>
      </c>
      <c r="D12">
        <v>48234</v>
      </c>
      <c r="E12">
        <v>85252</v>
      </c>
      <c r="F12">
        <v>283628</v>
      </c>
      <c r="G12">
        <v>60856</v>
      </c>
      <c r="H12">
        <v>243855</v>
      </c>
      <c r="I12">
        <v>183903</v>
      </c>
      <c r="J12">
        <v>790887</v>
      </c>
      <c r="K12">
        <v>67537</v>
      </c>
      <c r="L12">
        <v>371237</v>
      </c>
      <c r="M12">
        <v>133228</v>
      </c>
      <c r="N12">
        <v>397346</v>
      </c>
      <c r="O12">
        <v>83533</v>
      </c>
    </row>
    <row r="13" spans="1:15" x14ac:dyDescent="0.3">
      <c r="A13" t="s">
        <v>394</v>
      </c>
      <c r="B13" t="s">
        <v>392</v>
      </c>
      <c r="C13">
        <v>5092</v>
      </c>
      <c r="D13">
        <v>12174</v>
      </c>
      <c r="E13">
        <v>9680</v>
      </c>
      <c r="F13">
        <v>31155</v>
      </c>
      <c r="G13">
        <v>8055</v>
      </c>
      <c r="H13">
        <v>50331</v>
      </c>
      <c r="I13">
        <v>38784</v>
      </c>
      <c r="J13">
        <v>103458</v>
      </c>
      <c r="K13">
        <v>6016</v>
      </c>
      <c r="L13">
        <v>82997</v>
      </c>
      <c r="M13">
        <v>19850</v>
      </c>
      <c r="N13">
        <v>87128</v>
      </c>
      <c r="O13">
        <v>74971</v>
      </c>
    </row>
    <row r="14" spans="1:15" x14ac:dyDescent="0.3">
      <c r="A14" t="s">
        <v>395</v>
      </c>
      <c r="B14" t="s">
        <v>392</v>
      </c>
      <c r="C14">
        <v>16234</v>
      </c>
      <c r="D14">
        <v>33336</v>
      </c>
      <c r="E14">
        <v>49290</v>
      </c>
      <c r="F14">
        <v>261093</v>
      </c>
      <c r="G14">
        <v>100334</v>
      </c>
      <c r="H14">
        <v>130393</v>
      </c>
      <c r="I14">
        <v>105654</v>
      </c>
      <c r="J14">
        <v>270795</v>
      </c>
      <c r="K14">
        <v>34452</v>
      </c>
      <c r="L14">
        <v>157500</v>
      </c>
      <c r="M14">
        <v>64297</v>
      </c>
      <c r="N14">
        <v>149068</v>
      </c>
      <c r="O14">
        <v>45964</v>
      </c>
    </row>
    <row r="15" spans="1:15" x14ac:dyDescent="0.3">
      <c r="A15" t="s">
        <v>396</v>
      </c>
      <c r="B15" t="s">
        <v>2</v>
      </c>
      <c r="C15">
        <v>128397</v>
      </c>
      <c r="D15">
        <v>157422</v>
      </c>
      <c r="E15">
        <v>122364</v>
      </c>
      <c r="F15">
        <v>113118</v>
      </c>
      <c r="G15">
        <v>31213</v>
      </c>
      <c r="H15">
        <v>436817</v>
      </c>
      <c r="I15">
        <v>402359</v>
      </c>
      <c r="J15">
        <v>566833</v>
      </c>
      <c r="K15">
        <v>81150</v>
      </c>
      <c r="L15">
        <v>220512</v>
      </c>
      <c r="M15">
        <v>195280</v>
      </c>
      <c r="N15">
        <v>161992</v>
      </c>
      <c r="O15">
        <v>91138</v>
      </c>
    </row>
    <row r="16" spans="1:15" x14ac:dyDescent="0.3">
      <c r="A16" t="s">
        <v>397</v>
      </c>
      <c r="B16" t="s">
        <v>2</v>
      </c>
      <c r="C16">
        <v>2234</v>
      </c>
      <c r="D16">
        <v>3353</v>
      </c>
      <c r="E16">
        <v>5976</v>
      </c>
      <c r="F16">
        <v>3986</v>
      </c>
      <c r="G16">
        <v>2132</v>
      </c>
      <c r="H16">
        <v>32486</v>
      </c>
      <c r="I16">
        <v>27380</v>
      </c>
      <c r="J16">
        <v>61238</v>
      </c>
      <c r="K16">
        <v>5537</v>
      </c>
      <c r="L16">
        <v>25446</v>
      </c>
      <c r="M16">
        <v>13525</v>
      </c>
      <c r="N16">
        <v>16928</v>
      </c>
      <c r="O16">
        <v>14605</v>
      </c>
    </row>
    <row r="17" spans="1:15" x14ac:dyDescent="0.3">
      <c r="A17" t="s">
        <v>398</v>
      </c>
      <c r="B17" t="s">
        <v>2</v>
      </c>
      <c r="C17">
        <v>18409</v>
      </c>
      <c r="D17">
        <v>33638</v>
      </c>
      <c r="E17">
        <v>41979</v>
      </c>
      <c r="F17">
        <v>38277</v>
      </c>
      <c r="G17">
        <v>12788</v>
      </c>
      <c r="H17">
        <v>192943</v>
      </c>
      <c r="I17">
        <v>169947</v>
      </c>
      <c r="J17">
        <v>317391</v>
      </c>
      <c r="K17">
        <v>35849</v>
      </c>
      <c r="L17">
        <v>119540</v>
      </c>
      <c r="M17">
        <v>84387</v>
      </c>
      <c r="N17">
        <v>105693</v>
      </c>
      <c r="O17">
        <v>85819</v>
      </c>
    </row>
    <row r="18" spans="1:15" x14ac:dyDescent="0.3">
      <c r="A18" t="s">
        <v>399</v>
      </c>
      <c r="B18" t="s">
        <v>2</v>
      </c>
      <c r="C18">
        <v>34886</v>
      </c>
      <c r="D18">
        <v>54227</v>
      </c>
      <c r="E18">
        <v>94723</v>
      </c>
      <c r="F18">
        <v>71244</v>
      </c>
      <c r="G18">
        <v>27854</v>
      </c>
      <c r="H18">
        <v>425202</v>
      </c>
      <c r="I18">
        <v>353451</v>
      </c>
      <c r="J18">
        <v>816897</v>
      </c>
      <c r="K18">
        <v>77367</v>
      </c>
      <c r="L18">
        <v>344563</v>
      </c>
      <c r="M18">
        <v>217795</v>
      </c>
      <c r="N18">
        <v>296094</v>
      </c>
      <c r="O18">
        <v>174808</v>
      </c>
    </row>
    <row r="19" spans="1:15" x14ac:dyDescent="0.3">
      <c r="A19" t="s">
        <v>400</v>
      </c>
      <c r="B19" t="s">
        <v>2</v>
      </c>
      <c r="C19">
        <v>3298</v>
      </c>
      <c r="D19">
        <v>9509</v>
      </c>
      <c r="E19">
        <v>6426</v>
      </c>
      <c r="F19">
        <v>6092</v>
      </c>
      <c r="G19">
        <v>2454</v>
      </c>
      <c r="H19">
        <v>41776</v>
      </c>
      <c r="I19">
        <v>34364</v>
      </c>
      <c r="J19">
        <v>69298</v>
      </c>
      <c r="K19">
        <v>5687</v>
      </c>
      <c r="L19">
        <v>29772</v>
      </c>
      <c r="M19">
        <v>14051</v>
      </c>
      <c r="N19">
        <v>17560</v>
      </c>
      <c r="O19">
        <v>31011</v>
      </c>
    </row>
    <row r="20" spans="1:15" x14ac:dyDescent="0.3">
      <c r="A20" t="s">
        <v>401</v>
      </c>
      <c r="B20" t="s">
        <v>2</v>
      </c>
      <c r="C20">
        <v>0</v>
      </c>
      <c r="D20">
        <v>0</v>
      </c>
      <c r="E20">
        <v>498</v>
      </c>
      <c r="F20">
        <v>157</v>
      </c>
      <c r="G20">
        <v>0</v>
      </c>
      <c r="H20">
        <v>996</v>
      </c>
      <c r="I20">
        <v>839</v>
      </c>
      <c r="J20">
        <v>8071</v>
      </c>
      <c r="K20">
        <v>0</v>
      </c>
      <c r="L20">
        <v>7130</v>
      </c>
      <c r="M20">
        <v>498</v>
      </c>
      <c r="N20">
        <v>11648</v>
      </c>
      <c r="O20">
        <v>19969</v>
      </c>
    </row>
    <row r="21" spans="1:15" x14ac:dyDescent="0.3">
      <c r="A21" t="s">
        <v>402</v>
      </c>
      <c r="B21" t="s">
        <v>2</v>
      </c>
      <c r="C21">
        <v>20805</v>
      </c>
      <c r="D21">
        <v>36377</v>
      </c>
      <c r="E21">
        <v>50562</v>
      </c>
      <c r="F21">
        <v>46796</v>
      </c>
      <c r="G21">
        <v>17993</v>
      </c>
      <c r="H21">
        <v>258627</v>
      </c>
      <c r="I21">
        <v>208792</v>
      </c>
      <c r="J21">
        <v>485508</v>
      </c>
      <c r="K21">
        <v>47013</v>
      </c>
      <c r="L21">
        <v>179055</v>
      </c>
      <c r="M21">
        <v>118382</v>
      </c>
      <c r="N21">
        <v>156854</v>
      </c>
      <c r="O21">
        <v>81881</v>
      </c>
    </row>
    <row r="22" spans="1:15" x14ac:dyDescent="0.3">
      <c r="A22" t="s">
        <v>403</v>
      </c>
      <c r="B22" t="s">
        <v>2</v>
      </c>
      <c r="C22">
        <v>1264</v>
      </c>
      <c r="D22">
        <v>1745</v>
      </c>
      <c r="E22">
        <v>3595</v>
      </c>
      <c r="F22">
        <v>2962</v>
      </c>
      <c r="G22">
        <v>1030</v>
      </c>
      <c r="H22">
        <v>16683</v>
      </c>
      <c r="I22">
        <v>10822</v>
      </c>
      <c r="J22">
        <v>56899</v>
      </c>
      <c r="K22">
        <v>2489</v>
      </c>
      <c r="L22">
        <v>24635</v>
      </c>
      <c r="M22">
        <v>6373</v>
      </c>
      <c r="N22">
        <v>27976</v>
      </c>
      <c r="O22">
        <v>39646</v>
      </c>
    </row>
    <row r="23" spans="1:15" x14ac:dyDescent="0.3">
      <c r="A23" t="s">
        <v>404</v>
      </c>
      <c r="B23" t="s">
        <v>2</v>
      </c>
      <c r="C23">
        <v>18020</v>
      </c>
      <c r="D23">
        <v>25410</v>
      </c>
      <c r="E23">
        <v>53478</v>
      </c>
      <c r="F23">
        <v>39777</v>
      </c>
      <c r="G23">
        <v>17400</v>
      </c>
      <c r="H23">
        <v>253940</v>
      </c>
      <c r="I23">
        <v>202613</v>
      </c>
      <c r="J23">
        <v>574871</v>
      </c>
      <c r="K23">
        <v>46626</v>
      </c>
      <c r="L23">
        <v>250047</v>
      </c>
      <c r="M23">
        <v>147312</v>
      </c>
      <c r="N23">
        <v>205065</v>
      </c>
      <c r="O23">
        <v>83675</v>
      </c>
    </row>
    <row r="24" spans="1:15" x14ac:dyDescent="0.3">
      <c r="A24" t="s">
        <v>405</v>
      </c>
      <c r="B24" t="s">
        <v>406</v>
      </c>
      <c r="C24">
        <v>9491</v>
      </c>
      <c r="D24">
        <v>19872</v>
      </c>
      <c r="E24">
        <v>47232</v>
      </c>
      <c r="F24">
        <v>37330</v>
      </c>
      <c r="G24">
        <v>16044</v>
      </c>
      <c r="H24">
        <v>112570</v>
      </c>
      <c r="I24">
        <v>92033</v>
      </c>
      <c r="J24">
        <v>196790</v>
      </c>
      <c r="K24">
        <v>30466</v>
      </c>
      <c r="L24">
        <v>120686</v>
      </c>
      <c r="M24">
        <v>50438</v>
      </c>
      <c r="N24">
        <v>95554</v>
      </c>
      <c r="O24">
        <v>129389</v>
      </c>
    </row>
    <row r="25" spans="1:15" x14ac:dyDescent="0.3">
      <c r="A25" t="s">
        <v>407</v>
      </c>
      <c r="B25" t="s">
        <v>406</v>
      </c>
      <c r="C25">
        <v>86002</v>
      </c>
      <c r="D25">
        <v>178420</v>
      </c>
      <c r="E25">
        <v>365141</v>
      </c>
      <c r="F25">
        <v>317392</v>
      </c>
      <c r="G25">
        <v>230732</v>
      </c>
      <c r="H25">
        <v>690018</v>
      </c>
      <c r="I25">
        <v>557512</v>
      </c>
      <c r="J25">
        <v>1137346</v>
      </c>
      <c r="K25">
        <v>190132</v>
      </c>
      <c r="L25">
        <v>749602</v>
      </c>
      <c r="M25">
        <v>435626</v>
      </c>
      <c r="N25">
        <v>498373</v>
      </c>
      <c r="O25">
        <v>565588</v>
      </c>
    </row>
    <row r="26" spans="1:15" x14ac:dyDescent="0.3">
      <c r="A26" t="s">
        <v>408</v>
      </c>
      <c r="B26" t="s">
        <v>406</v>
      </c>
      <c r="C26">
        <v>9946</v>
      </c>
      <c r="D26">
        <v>21195</v>
      </c>
      <c r="E26">
        <v>29740</v>
      </c>
      <c r="F26">
        <v>37806</v>
      </c>
      <c r="G26">
        <v>13406</v>
      </c>
      <c r="H26">
        <v>101138</v>
      </c>
      <c r="I26">
        <v>83283</v>
      </c>
      <c r="J26">
        <v>157374</v>
      </c>
      <c r="K26">
        <v>24733</v>
      </c>
      <c r="L26">
        <v>83191</v>
      </c>
      <c r="M26">
        <v>38175</v>
      </c>
      <c r="N26">
        <v>50651</v>
      </c>
      <c r="O26">
        <v>71727</v>
      </c>
    </row>
    <row r="27" spans="1:15" x14ac:dyDescent="0.3">
      <c r="A27" t="s">
        <v>409</v>
      </c>
      <c r="B27" t="s">
        <v>406</v>
      </c>
      <c r="C27">
        <v>4733</v>
      </c>
      <c r="D27">
        <v>11920</v>
      </c>
      <c r="E27">
        <v>19743</v>
      </c>
      <c r="F27">
        <v>17229</v>
      </c>
      <c r="G27">
        <v>7422</v>
      </c>
      <c r="H27">
        <v>51585</v>
      </c>
      <c r="I27">
        <v>40638</v>
      </c>
      <c r="J27">
        <v>89752</v>
      </c>
      <c r="K27">
        <v>13206</v>
      </c>
      <c r="L27">
        <v>56659</v>
      </c>
      <c r="M27">
        <v>23603</v>
      </c>
      <c r="N27">
        <v>30533</v>
      </c>
      <c r="O27">
        <v>68801</v>
      </c>
    </row>
    <row r="28" spans="1:15" x14ac:dyDescent="0.3">
      <c r="A28" t="s">
        <v>410</v>
      </c>
      <c r="B28" t="s">
        <v>406</v>
      </c>
      <c r="C28">
        <v>7573</v>
      </c>
      <c r="D28">
        <v>21371</v>
      </c>
      <c r="E28">
        <v>19545</v>
      </c>
      <c r="F28">
        <v>41236</v>
      </c>
      <c r="G28">
        <v>9950</v>
      </c>
      <c r="H28">
        <v>54677</v>
      </c>
      <c r="I28">
        <v>48754</v>
      </c>
      <c r="J28">
        <v>71532</v>
      </c>
      <c r="K28">
        <v>13355</v>
      </c>
      <c r="L28">
        <v>40147</v>
      </c>
      <c r="M28">
        <v>25651</v>
      </c>
      <c r="N28">
        <v>27499</v>
      </c>
      <c r="O28">
        <v>37944</v>
      </c>
    </row>
    <row r="29" spans="1:15" x14ac:dyDescent="0.3">
      <c r="A29" t="s">
        <v>411</v>
      </c>
      <c r="B29" t="s">
        <v>406</v>
      </c>
      <c r="C29">
        <v>694</v>
      </c>
      <c r="D29">
        <v>1339</v>
      </c>
      <c r="E29">
        <v>1660</v>
      </c>
      <c r="F29">
        <v>2912</v>
      </c>
      <c r="G29">
        <v>1283</v>
      </c>
      <c r="H29">
        <v>8242</v>
      </c>
      <c r="I29">
        <v>6487</v>
      </c>
      <c r="J29">
        <v>13144</v>
      </c>
      <c r="K29">
        <v>1061</v>
      </c>
      <c r="L29">
        <v>9729</v>
      </c>
      <c r="M29">
        <v>2744</v>
      </c>
      <c r="N29">
        <v>9232</v>
      </c>
      <c r="O29">
        <v>26126</v>
      </c>
    </row>
    <row r="30" spans="1:15" x14ac:dyDescent="0.3">
      <c r="A30" t="s">
        <v>412</v>
      </c>
      <c r="B30" t="s">
        <v>406</v>
      </c>
      <c r="C30">
        <v>2846</v>
      </c>
      <c r="D30">
        <v>8274</v>
      </c>
      <c r="E30">
        <v>7125</v>
      </c>
      <c r="F30">
        <v>12527</v>
      </c>
      <c r="G30">
        <v>4513</v>
      </c>
      <c r="H30">
        <v>30971</v>
      </c>
      <c r="I30">
        <v>24226</v>
      </c>
      <c r="J30">
        <v>43787</v>
      </c>
      <c r="K30">
        <v>4085</v>
      </c>
      <c r="L30">
        <v>31105</v>
      </c>
      <c r="M30">
        <v>8171</v>
      </c>
      <c r="N30">
        <v>22988</v>
      </c>
      <c r="O30">
        <v>77519</v>
      </c>
    </row>
    <row r="31" spans="1:15" x14ac:dyDescent="0.3">
      <c r="A31" t="s">
        <v>413</v>
      </c>
      <c r="B31" t="s">
        <v>414</v>
      </c>
      <c r="C31">
        <v>1687</v>
      </c>
      <c r="D31">
        <v>1369</v>
      </c>
      <c r="E31">
        <v>2739</v>
      </c>
      <c r="F31">
        <v>3930</v>
      </c>
      <c r="G31">
        <v>2986</v>
      </c>
      <c r="H31">
        <v>15536</v>
      </c>
      <c r="I31">
        <v>12138</v>
      </c>
      <c r="J31">
        <v>26808</v>
      </c>
      <c r="K31">
        <v>1237</v>
      </c>
      <c r="L31">
        <v>24038</v>
      </c>
      <c r="M31">
        <v>7043</v>
      </c>
      <c r="N31">
        <v>22153</v>
      </c>
      <c r="O31">
        <v>82724</v>
      </c>
    </row>
    <row r="32" spans="1:15" x14ac:dyDescent="0.3">
      <c r="A32" t="s">
        <v>415</v>
      </c>
      <c r="B32" t="s">
        <v>414</v>
      </c>
      <c r="C32">
        <v>5858</v>
      </c>
      <c r="D32">
        <v>11733</v>
      </c>
      <c r="E32">
        <v>21120</v>
      </c>
      <c r="F32">
        <v>26453</v>
      </c>
      <c r="G32">
        <v>11297</v>
      </c>
      <c r="H32">
        <v>84875</v>
      </c>
      <c r="I32">
        <v>68606</v>
      </c>
      <c r="J32">
        <v>136071</v>
      </c>
      <c r="K32">
        <v>18272</v>
      </c>
      <c r="L32">
        <v>77378</v>
      </c>
      <c r="M32">
        <v>28639</v>
      </c>
      <c r="N32">
        <v>49189</v>
      </c>
      <c r="O32">
        <v>130099</v>
      </c>
    </row>
    <row r="33" spans="1:15" x14ac:dyDescent="0.3">
      <c r="A33" t="s">
        <v>416</v>
      </c>
      <c r="B33" t="s">
        <v>414</v>
      </c>
      <c r="C33">
        <v>1751</v>
      </c>
      <c r="D33">
        <v>3740</v>
      </c>
      <c r="E33">
        <v>4199</v>
      </c>
      <c r="F33">
        <v>5212</v>
      </c>
      <c r="G33">
        <v>3072</v>
      </c>
      <c r="H33">
        <v>19369</v>
      </c>
      <c r="I33">
        <v>13547</v>
      </c>
      <c r="J33">
        <v>49780</v>
      </c>
      <c r="K33">
        <v>5023</v>
      </c>
      <c r="L33">
        <v>28328</v>
      </c>
      <c r="M33">
        <v>8870</v>
      </c>
      <c r="N33">
        <v>20075</v>
      </c>
      <c r="O33">
        <v>47280</v>
      </c>
    </row>
    <row r="34" spans="1:15" x14ac:dyDescent="0.3">
      <c r="A34" t="s">
        <v>417</v>
      </c>
      <c r="B34" t="s">
        <v>414</v>
      </c>
      <c r="C34">
        <v>2739</v>
      </c>
      <c r="D34">
        <v>3737</v>
      </c>
      <c r="E34">
        <v>4804</v>
      </c>
      <c r="F34">
        <v>9259</v>
      </c>
      <c r="G34">
        <v>4061</v>
      </c>
      <c r="H34">
        <v>33069</v>
      </c>
      <c r="I34">
        <v>25046</v>
      </c>
      <c r="J34">
        <v>42946</v>
      </c>
      <c r="K34">
        <v>3583</v>
      </c>
      <c r="L34">
        <v>31289</v>
      </c>
      <c r="M34">
        <v>9018</v>
      </c>
      <c r="N34">
        <v>16775</v>
      </c>
      <c r="O34">
        <v>61886</v>
      </c>
    </row>
    <row r="35" spans="1:15" x14ac:dyDescent="0.3">
      <c r="A35" t="s">
        <v>418</v>
      </c>
      <c r="B35" t="s">
        <v>414</v>
      </c>
      <c r="C35">
        <v>517</v>
      </c>
      <c r="D35">
        <v>572</v>
      </c>
      <c r="E35">
        <v>535</v>
      </c>
      <c r="F35">
        <v>1594</v>
      </c>
      <c r="G35">
        <v>841</v>
      </c>
      <c r="H35">
        <v>5206</v>
      </c>
      <c r="I35">
        <v>3363</v>
      </c>
      <c r="J35">
        <v>10097</v>
      </c>
      <c r="K35">
        <v>702</v>
      </c>
      <c r="L35">
        <v>6844</v>
      </c>
      <c r="M35">
        <v>1558</v>
      </c>
      <c r="N35">
        <v>8947</v>
      </c>
      <c r="O35">
        <v>20797</v>
      </c>
    </row>
    <row r="36" spans="1:15" x14ac:dyDescent="0.3">
      <c r="A36" t="s">
        <v>419</v>
      </c>
      <c r="B36" t="s">
        <v>414</v>
      </c>
      <c r="C36">
        <v>699</v>
      </c>
      <c r="D36">
        <v>1267</v>
      </c>
      <c r="E36">
        <v>4588</v>
      </c>
      <c r="F36">
        <v>3842</v>
      </c>
      <c r="G36">
        <v>1657</v>
      </c>
      <c r="H36">
        <v>10435</v>
      </c>
      <c r="I36">
        <v>8216</v>
      </c>
      <c r="J36">
        <v>21985</v>
      </c>
      <c r="K36">
        <v>3304</v>
      </c>
      <c r="L36">
        <v>14412</v>
      </c>
      <c r="M36">
        <v>11336</v>
      </c>
      <c r="N36">
        <v>13604</v>
      </c>
      <c r="O36">
        <v>33046</v>
      </c>
    </row>
    <row r="37" spans="1:15" x14ac:dyDescent="0.3">
      <c r="A37" t="s">
        <v>420</v>
      </c>
      <c r="B37" t="s">
        <v>414</v>
      </c>
      <c r="C37">
        <v>3217</v>
      </c>
      <c r="D37">
        <v>6188</v>
      </c>
      <c r="E37">
        <v>17223</v>
      </c>
      <c r="F37">
        <v>13855</v>
      </c>
      <c r="G37">
        <v>5930</v>
      </c>
      <c r="H37">
        <v>45335</v>
      </c>
      <c r="I37">
        <v>35227</v>
      </c>
      <c r="J37">
        <v>69445</v>
      </c>
      <c r="K37">
        <v>10624</v>
      </c>
      <c r="L37">
        <v>47507</v>
      </c>
      <c r="M37">
        <v>22957</v>
      </c>
      <c r="N37">
        <v>26779</v>
      </c>
      <c r="O37">
        <v>60063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Raw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 manyu</dc:creator>
  <cp:lastModifiedBy>ng manyu</cp:lastModifiedBy>
  <dcterms:created xsi:type="dcterms:W3CDTF">2015-06-05T18:19:34Z</dcterms:created>
  <dcterms:modified xsi:type="dcterms:W3CDTF">2026-07-29T17:23:02Z</dcterms:modified>
</cp:coreProperties>
</file>